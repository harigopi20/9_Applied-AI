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1 Requirements" sheetId="2" state="visible" r:id="rId4"/>
    <sheet name="M1 Design Components" sheetId="3" state="visible" r:id="rId5"/>
    <sheet name="M1 Traceability" sheetId="4" state="visible" r:id="rId6"/>
    <sheet name="M2 Proposal" sheetId="5" state="visible" r:id="rId7"/>
    <sheet name="M2 Components by Release" sheetId="6" state="visible" r:id="rId8"/>
    <sheet name="M2 Release Plan" sheetId="7" state="visible" r:id="rId9"/>
  </sheets>
  <definedNames>
    <definedName function="false" hidden="true" localSheetId="2" name="_xlnm._FilterDatabase" vbProcedure="false">'M1 Design Components'!$A$4:$I$45</definedName>
    <definedName function="false" hidden="true" localSheetId="1" name="_xlnm._FilterDatabase" vbProcedure="false">'M1 Requirements'!$A$4:$M$70</definedName>
    <definedName function="false" hidden="true" localSheetId="5" name="_xlnm._FilterDatabase" vbProcedure="false">'M2 Components by Release'!$A$4:$J$45</definedName>
    <definedName function="false" hidden="true" localSheetId="4" name="_xlnm._FilterDatabase" vbProcedure="false">'M2 Proposal'!$A$4:$K$70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<sst xmlns="http://schemas.openxmlformats.org/spreadsheetml/2006/main" count="2037" uniqueCount="704">
  <si>
    <t xml:space="preserve">Baumarkt-Buddy – Release Planning Workbook</t>
  </si>
  <si>
    <t xml:space="preserve">Source: requirements/baumarkt-buddy-product-requirements.md v1.0 · Draft 23 Oct 2026 · Owner: Quality &amp; Responsible AI</t>
  </si>
  <si>
    <t xml:space="preserve">Purpose</t>
  </si>
  <si>
    <t xml:space="preserve">Plan the product in 3 releases: select functional, safety, non-functional and data requirements per release, the design components needed to build them, and the release-blocking tests that verify each release.</t>
  </si>
  <si>
    <t xml:space="preserve">Releases (course scope)</t>
  </si>
  <si>
    <t xml:space="preserve">R1 – MVP / Pitch demo</t>
  </si>
  <si>
    <t xml:space="preserve">2-week sprint (19 Oct – ~1 Nov 2026). One safe end-to-end flow: text/template -&gt; questions -&gt; validated shopping list with aisle. Built and tested.</t>
  </si>
  <si>
    <t xml:space="preserve">R2 – Extended MVP</t>
  </si>
  <si>
    <t xml:space="preserve">Planned (roadmap only). More templates, explanations, alternatives, owned items, offline checklist, assembly guide.</t>
  </si>
  <si>
    <t xml:space="preserve">R3 – Pilot-ready</t>
  </si>
  <si>
    <t xml:space="preserve">Planned (roadmap only). Photo and voice entry, real store data, store search, scanner, associate hand-off, monitoring.</t>
  </si>
  <si>
    <t xml:space="preserve">Beyond</t>
  </si>
  <si>
    <t xml:space="preserve">Not planned in the 3 releases (reservation, multi-retailer).</t>
  </si>
  <si>
    <t xml:space="preserve">METHOD 1 – Team selection (bottom-up)</t>
  </si>
  <si>
    <t xml:space="preserve">Sheets</t>
  </si>
  <si>
    <t xml:space="preserve">M1 Requirements · M1 Design Components · M1 Traceability</t>
  </si>
  <si>
    <t xml:space="preserve">Step 1</t>
  </si>
  <si>
    <t xml:space="preserve">Everyone reads M1 Requirements (68 items: 24 FR, 10 SR, 11 NFR, 7 DR, 14 release-blocking tests).</t>
  </si>
  <si>
    <t xml:space="preserve">Step 2</t>
  </si>
  <si>
    <t xml:space="preserve">In the team meeting, fill the yellow columns: Team MoSCoW (Must/Should/Could/Won't) and Team release (R1/R2/R3/Beyond).</t>
  </si>
  <si>
    <t xml:space="preserve">Step 3</t>
  </si>
  <si>
    <t xml:space="preserve">M1 Design Components then shows automatically which components are needed and in which release (earliest release of any linked requirement).</t>
  </si>
  <si>
    <t xml:space="preserve">Step 4</t>
  </si>
  <si>
    <t xml:space="preserve">Use M1 Traceability to check that every selected requirement has its components and that every release-blocking test is in the same release as its feature.</t>
  </si>
  <si>
    <t xml:space="preserve">Result</t>
  </si>
  <si>
    <t xml:space="preserve">The team's own release plan. Good for discussion and buy-in, but slower and depends on the team's judgement.</t>
  </si>
  <si>
    <t xml:space="preserve">METHOD 2 – Claude's proposal (top-down, recommended)</t>
  </si>
  <si>
    <t xml:space="preserve">Technique</t>
  </si>
  <si>
    <t xml:space="preserve">Goal-driven release slicing with MoSCoW per release + walking skeleton + V-model exit gates.</t>
  </si>
  <si>
    <t xml:space="preserve">Step 1 · Release goal</t>
  </si>
  <si>
    <t xml:space="preserve">Define ONE goal per release (see above). The goal is the filter for everything else.</t>
  </si>
  <si>
    <t xml:space="preserve">Step 2 · MoSCoW per release</t>
  </si>
  <si>
    <t xml:space="preserve">For each requirement ask: is it needed for this release's goal? Must = goal fails without it · Should = important, not vital · Could = if time allows · Won't = moved to a later release.</t>
  </si>
  <si>
    <t xml:space="preserve">Step 3 · Safety rule</t>
  </si>
  <si>
    <t xml:space="preserve">Every safety requirement and release-blocking test that applies to a feature in the release is automatically Must in that release. Safety is never negotiated down.</t>
  </si>
  <si>
    <t xml:space="preserve">Step 4 · Walking skeleton</t>
  </si>
  <si>
    <t xml:space="preserve">R1 builds a thin slice through ALL 5 architecture layers (UI, orchestrator, AI, deterministic gates, data). Later releases widen layers, not add new ones.</t>
  </si>
  <si>
    <t xml:space="preserve">Step 5 · Dependencies</t>
  </si>
  <si>
    <t xml:space="preserve">A requirement cannot be earlier than the components and data it needs (e.g. assembly guide needs manufacturer data).</t>
  </si>
  <si>
    <t xml:space="preserve">Step 6 · Capacity check</t>
  </si>
  <si>
    <t xml:space="preserve">Musts should be about 60 % of the release effort; Should/Could fill the rest. If Musts exceed capacity, reduce scope (e.g. fewer templates), not safety.</t>
  </si>
  <si>
    <t xml:space="preserve">Step 7 · Exit gate</t>
  </si>
  <si>
    <t xml:space="preserve">A release is done only when its release-blocking tests pass (V&amp;V) and its validation KPI is met (user test).</t>
  </si>
  <si>
    <t xml:space="preserve">M2 Proposal (one row per requirement with release, MoSCoW, rationale, team accept/change) · M2 Components by Release · M2 Release Plan (counts + gates).</t>
  </si>
  <si>
    <t xml:space="preserve">How to use the two methods together</t>
  </si>
  <si>
    <t xml:space="preserve">1) Each member fills Method 1 alone (10 min). 2) Compare with Method 2 in the meeting. 3) Discuss only the rows where they differ. 4) Record the decision in M2 Proposal -&gt; 'Team decision'.</t>
  </si>
  <si>
    <t xml:space="preserve">Legend</t>
  </si>
  <si>
    <t xml:space="preserve">Yellow cells</t>
  </si>
  <si>
    <t xml:space="preserve">Team input (drop-down lists).</t>
  </si>
  <si>
    <t xml:space="preserve">Source priority</t>
  </si>
  <si>
    <t xml:space="preserve">P0 = MVP mandatory · P1 = pilot · P2 = later · Gate = release-blocking test (as in the requirements file).</t>
  </si>
  <si>
    <t xml:space="preserve">Example (Method 1 row)</t>
  </si>
  <si>
    <t xml:space="preserve">FR-05 · Team MoSCoW = Must · Team release = R1 · Owner = Quality · Comment = 'max. 3 questions, wall type + load'</t>
  </si>
  <si>
    <t xml:space="preserve">Note</t>
  </si>
  <si>
    <t xml:space="preserve">FR-02, FR-03, FR-04, FR-24, SR-02, SR-07, SR-10 contain several parts. Method 2 rationale says which part goes into which release.</t>
  </si>
  <si>
    <t xml:space="preserve">Method 1 – All requirements (fill yellow columns as a team)</t>
  </si>
  <si>
    <t xml:space="preserve">68 items from requirements v1.0 · filter with the arrows in row 4</t>
  </si>
  <si>
    <t xml:space="preserve">ID</t>
  </si>
  <si>
    <t xml:space="preserve">Type</t>
  </si>
  <si>
    <t xml:space="preserve">Category</t>
  </si>
  <si>
    <t xml:space="preserve">Requirement</t>
  </si>
  <si>
    <t xml:space="preserve">Acceptance criterion / verification</t>
  </si>
  <si>
    <t xml:space="preserve">Source §</t>
  </si>
  <si>
    <t xml:space="preserve">Related design components</t>
  </si>
  <si>
    <t xml:space="preserve">Team MoSCoW</t>
  </si>
  <si>
    <t xml:space="preserve">Team release</t>
  </si>
  <si>
    <t xml:space="preserve">Owner</t>
  </si>
  <si>
    <t xml:space="preserve">Team comment</t>
  </si>
  <si>
    <t xml:space="preserve">Release no. (auto)</t>
  </si>
  <si>
    <t xml:space="preserve">FR-01</t>
  </si>
  <si>
    <t xml:space="preserve">Functional</t>
  </si>
  <si>
    <t xml:space="preserve">Project lifecycle</t>
  </si>
  <si>
    <t xml:space="preserve">Create, save, resume and delete a project</t>
  </si>
  <si>
    <t xml:space="preserve">Returning user resumes the last confirmed state; deletion status is reported.</t>
  </si>
  <si>
    <t xml:space="preserve">P0</t>
  </si>
  <si>
    <t xml:space="preserve">§4</t>
  </si>
  <si>
    <t xml:space="preserve">DC-13, DC-14, DC-15</t>
  </si>
  <si>
    <t xml:space="preserve">FR-02</t>
  </si>
  <si>
    <t xml:space="preserve">Project entry</t>
  </si>
  <si>
    <t xml:space="preserve">Accept a free-text project description and multiple role-labelled photos</t>
  </si>
  <si>
    <t xml:space="preserve">Photo role is explicit (reference, room/installation area, owned item); reference and room photos are not silently treated as the same scene.</t>
  </si>
  <si>
    <t xml:space="preserve">DC-01, DC-09, DC-17, DC-21</t>
  </si>
  <si>
    <t xml:space="preserve">FR-03</t>
  </si>
  <si>
    <t xml:space="preserve">Classify project intent and extract candidate objects/visible labels</t>
  </si>
  <si>
    <t xml:space="preserve">At least 8 of 10 supported intent prompts are correctly classified in the project benchmark; observations retain source, uncertainty and confirmation status.</t>
  </si>
  <si>
    <t xml:space="preserve">DC-17, DC-21, DC-02</t>
  </si>
  <si>
    <t xml:space="preserve">FR-04</t>
  </si>
  <si>
    <t xml:space="preserve">Clarification &amp; facts</t>
  </si>
  <si>
    <t xml:space="preserve">Capture measurements, units, constraints and owned items</t>
  </si>
  <si>
    <t xml:space="preserve">Critical dimensions and load are user-confirmed; unit conflicts block product matching; uncertain owned items are not treated as suitable.</t>
  </si>
  <si>
    <t xml:space="preserve">DC-02, DC-23, DC-29</t>
  </si>
  <si>
    <t xml:space="preserve">FR-05</t>
  </si>
  <si>
    <t xml:space="preserve">Ask dependency-aware follow-up questions</t>
  </si>
  <si>
    <t xml:space="preserve">Ask no more than three at a time; allow skips; missing safety-critical substrate/load facts block final fixing selection.</t>
  </si>
  <si>
    <t xml:space="preserve">DC-03, DC-18, DC-23, DC-32</t>
  </si>
  <si>
    <t xml:space="preserve">FR-06</t>
  </si>
  <si>
    <t xml:space="preserve">Planning</t>
  </si>
  <si>
    <t xml:space="preserve">Generate a structured bill of materials (BOM)</t>
  </si>
  <si>
    <t xml:space="preserve">Separate materials, consumables, tools and PPE; show role, specification, quantity basis and dependencies; derive quantities from confirmed dimensions; target under 5 seconds for a bounded plan.</t>
  </si>
  <si>
    <t xml:space="preserve">DC-19, DC-24, DC-32, DC-04</t>
  </si>
  <si>
    <t xml:space="preserve">FR-07</t>
  </si>
  <si>
    <t xml:space="preserve">Reconcile suitable owned items against the BOM</t>
  </si>
  <si>
    <t xml:space="preserve">Deduct only confirmed suitable quantities; mark unknown/uncertain items for identification.</t>
  </si>
  <si>
    <t xml:space="preserve">DC-29, DC-02</t>
  </si>
  <si>
    <t xml:space="preserve">FR-08</t>
  </si>
  <si>
    <t xml:space="preserve">Validation</t>
  </si>
  <si>
    <t xml:space="preserve">Match exact catalogue products and variants</t>
  </si>
  <si>
    <t xml:space="preserve">Each recommended item maps to a catalogue record and identifiable variant; the model cannot invent product names, SKUs or prices.</t>
  </si>
  <si>
    <t xml:space="preserve">DC-25, DC-24, DC-30</t>
  </si>
  <si>
    <t xml:space="preserve">FR-09</t>
  </si>
  <si>
    <t xml:space="preserve">Validate product and component compatibility</t>
  </si>
  <si>
    <t xml:space="preserve">Check relevant dimensions, material, system, pack quantity and manufacturer-supported constraints; retain evidence for each check.</t>
  </si>
  <si>
    <t xml:space="preserve">DC-24, DC-33, DC-34</t>
  </si>
  <si>
    <t xml:space="preserve">FR-10</t>
  </si>
  <si>
    <t xml:space="preserve">Explain recommendations and unresolved facts</t>
  </si>
  <si>
    <t xml:space="preserve">User can see why an item fits, which facts support it and what remains unverified.</t>
  </si>
  <si>
    <t xml:space="preserve">DC-20, DC-04, DC-34</t>
  </si>
  <si>
    <t xml:space="preserve">FR-11</t>
  </si>
  <si>
    <t xml:space="preserve">Shopping</t>
  </si>
  <si>
    <t xml:space="preserve">Show price, availability and store information</t>
  </si>
  <si>
    <t xml:space="preserve">Display price, tax/pack basis, stock status, source and retrieval time; unknown, stale and out-of-stock are distinct. Mock values are labelled as mock.</t>
  </si>
  <si>
    <t xml:space="preserve">DC-04, DC-31, DC-35</t>
  </si>
  <si>
    <t xml:space="preserve">FR-12</t>
  </si>
  <si>
    <t xml:space="preserve">Offer feasible basket options and alternatives</t>
  </si>
  <si>
    <t xml:space="preserve">Where supported catalogue alternatives exist, show compatible lower-cost or premium choices; enforce hard constraints and update totals immediately.</t>
  </si>
  <si>
    <t xml:space="preserve">DC-28, DC-24, DC-04</t>
  </si>
  <si>
    <t xml:space="preserve">FR-13</t>
  </si>
  <si>
    <t xml:space="preserve">Support store search and retailer hand-off</t>
  </si>
  <si>
    <t xml:space="preserve">Postcode works if location permission is denied; retailer hand-off does not imply reservation or purchase.</t>
  </si>
  <si>
    <t xml:space="preserve">DC-12, DC-40</t>
  </si>
  <si>
    <t xml:space="preserve">FR-14</t>
  </si>
  <si>
    <t xml:space="preserve">Provide an offline project checklist</t>
  </si>
  <si>
    <t xml:space="preserve">A saved list remains readable without network; stock claims are marked stale/unavailable.</t>
  </si>
  <si>
    <t xml:space="preserve">DC-06, DC-15</t>
  </si>
  <si>
    <t xml:space="preserve">FR-15</t>
  </si>
  <si>
    <t xml:space="preserve">Safety UX</t>
  </si>
  <si>
    <t xml:space="preserve">Present safety stops and escalation</t>
  </si>
  <si>
    <t xml:space="preserve">Model wording cannot dismiss a safety block; offer a store-associate or professional hand-off where appropriate.</t>
  </si>
  <si>
    <t xml:space="preserve">DC-05, DC-22, DC-14</t>
  </si>
  <si>
    <t xml:space="preserve">FR-16</t>
  </si>
  <si>
    <t xml:space="preserve">Assembly</t>
  </si>
  <si>
    <t xml:space="preserve">Link assembly steps to reviewed sources</t>
  </si>
  <si>
    <t xml:space="preserve">Applicable product/manual revision is identifiable; manufacturer warnings and stop conditions are preserved.</t>
  </si>
  <si>
    <t xml:space="preserve">DC-08, DC-33, DC-32</t>
  </si>
  <si>
    <t xml:space="preserve">FR-17</t>
  </si>
  <si>
    <t xml:space="preserve">Export and share a project summary</t>
  </si>
  <si>
    <t xml:space="preserve">User receives a readable export; sharing includes only selected information.</t>
  </si>
  <si>
    <t xml:space="preserve">DC-07</t>
  </si>
  <si>
    <t xml:space="preserve">FR-18</t>
  </si>
  <si>
    <t xml:space="preserve">Show verified aisle/zone/rack locations</t>
  </si>
  <si>
    <t xml:space="preserve">Location matches selected branch and map revision; otherwise show an honest fallback.</t>
  </si>
  <si>
    <t xml:space="preserve">P1</t>
  </si>
  <si>
    <t xml:space="preserve">DC-31, DC-35, DC-04</t>
  </si>
  <si>
    <t xml:space="preserve">FR-19</t>
  </si>
  <si>
    <t xml:space="preserve">Scan products during shopping</t>
  </si>
  <si>
    <t xml:space="preserve">A different size or variant triggers mismatch detection and revalidation.</t>
  </si>
  <si>
    <t xml:space="preserve">DC-11, DC-16, DC-24</t>
  </si>
  <si>
    <t xml:space="preserve">FR-20</t>
  </si>
  <si>
    <t xml:space="preserve">Track assembly and deviations</t>
  </si>
  <si>
    <t xml:space="preserve">A changed component invalidates affected downstream steps.</t>
  </si>
  <si>
    <t xml:space="preserve">DC-08, DC-16, DC-14</t>
  </si>
  <si>
    <t xml:space="preserve">FR-21</t>
  </si>
  <si>
    <t xml:space="preserve">Integration</t>
  </si>
  <si>
    <t xml:space="preserve">Support an approved reservation integration</t>
  </si>
  <si>
    <t xml:space="preserve">Exact action is approved; retries cannot create duplicate external actions.</t>
  </si>
  <si>
    <t xml:space="preserve">DC-40</t>
  </si>
  <si>
    <t xml:space="preserve">FR-22</t>
  </si>
  <si>
    <t xml:space="preserve">Share a summary with a store associate</t>
  </si>
  <si>
    <t xml:space="preserve">Only user-selected project information is shared.</t>
  </si>
  <si>
    <t xml:space="preserve">DC-07, DC-40</t>
  </si>
  <si>
    <t xml:space="preserve">FR-23</t>
  </si>
  <si>
    <t xml:space="preserve">Optimise baskets across retailers</t>
  </si>
  <si>
    <t xml:space="preserve">Hard compatibility constraints remain enforced across split baskets.</t>
  </si>
  <si>
    <t xml:space="preserve">P2</t>
  </si>
  <si>
    <t xml:space="preserve">DC-28, DC-40, DC-24</t>
  </si>
  <si>
    <t xml:space="preserve">FR-24</t>
  </si>
  <si>
    <t xml:space="preserve">Add voice interaction or room visualisation</t>
  </si>
  <si>
    <t xml:space="preserve">Visualisation is labelled conceptual and cannot override measured dimensions.</t>
  </si>
  <si>
    <t xml:space="preserve">DC-10, DC-17</t>
  </si>
  <si>
    <t xml:space="preserve">SR-01</t>
  </si>
  <si>
    <t xml:space="preserve">Safety</t>
  </si>
  <si>
    <t xml:space="preserve">Evidence</t>
  </si>
  <si>
    <t xml:space="preserve">Separate visual guesses from user-confirmed facts and manufacturer-supported specifications.</t>
  </si>
  <si>
    <t xml:space="preserve">Every fact carries a status (observed / user-confirmed / manufacturer-supported / unknown).</t>
  </si>
  <si>
    <t xml:space="preserve">§6</t>
  </si>
  <si>
    <t xml:space="preserve">DC-02, DC-14, DC-23</t>
  </si>
  <si>
    <t xml:space="preserve">SR-02</t>
  </si>
  <si>
    <t xml:space="preserve">Never certify wall type, allowable load, concealed services or safe drilling locations from photos. A detector's negative result is not clearance to drill.</t>
  </si>
  <si>
    <t xml:space="preserve">Verified by RB-02, RB-07.</t>
  </si>
  <si>
    <t xml:space="preserve">DC-21, DC-23, DC-24</t>
  </si>
  <si>
    <t xml:space="preserve">SR-03</t>
  </si>
  <si>
    <t xml:space="preserve">Mounting gate</t>
  </si>
  <si>
    <t xml:space="preserve">Require confirmed substrate, fixing system, bracket geometry, intended loading and applicable installation conditions before a final mounting recommendation.</t>
  </si>
  <si>
    <t xml:space="preserve">Verified by RB-01.</t>
  </si>
  <si>
    <t xml:space="preserve">DC-23, DC-24, DC-32</t>
  </si>
  <si>
    <t xml:space="preserve">SR-04</t>
  </si>
  <si>
    <t xml:space="preserve">Do not calculate shelf capacity by adding nominal anchor ratings; rely on applicable system evidence or refer to a qualified person.</t>
  </si>
  <si>
    <t xml:space="preserve">Rule engine contains no summation of plug ratings (code review + unit test).</t>
  </si>
  <si>
    <t xml:space="preserve">DC-24, DC-33</t>
  </si>
  <si>
    <t xml:space="preserve">SR-05</t>
  </si>
  <si>
    <t xml:space="preserve">Drilling</t>
  </si>
  <si>
    <t xml:space="preserve">Describe detector capabilities and limitations for relevant hazards; do not imply every detector finds every pipe, especially plastic pipes.</t>
  </si>
  <si>
    <t xml:space="preserve">Verified by RB-07.</t>
  </si>
  <si>
    <t xml:space="preserve">DC-24, DC-05</t>
  </si>
  <si>
    <t xml:space="preserve">SR-06</t>
  </si>
  <si>
    <t xml:space="preserve">Fail-safe</t>
  </si>
  <si>
    <t xml:space="preserve">Inconclusive or missing evidence triggers a stop, not permission to proceed.</t>
  </si>
  <si>
    <t xml:space="preserve">Verified by RB-01, RB-03.</t>
  </si>
  <si>
    <t xml:space="preserve">DC-23, DC-14, DC-05</t>
  </si>
  <si>
    <t xml:space="preserve">SR-07</t>
  </si>
  <si>
    <t xml:space="preserve">Preserve manufacturer warnings, installation conditions and approved combinations; generated text cannot weaken them.</t>
  </si>
  <si>
    <t xml:space="preserve">Verified by RB-08.</t>
  </si>
  <si>
    <t xml:space="preserve">DC-33, DC-24, DC-04</t>
  </si>
  <si>
    <t xml:space="preserve">SR-08</t>
  </si>
  <si>
    <t xml:space="preserve">Revalidation</t>
  </si>
  <si>
    <t xml:space="preserve">Re-run safety and compatibility checks after changes to material, dimensions, load or product.</t>
  </si>
  <si>
    <t xml:space="preserve">Verified by RB-04, RB-14.</t>
  </si>
  <si>
    <t xml:space="preserve">DC-16, DC-14, DC-24</t>
  </si>
  <si>
    <t xml:space="preserve">SR-09</t>
  </si>
  <si>
    <t xml:space="preserve">Scope</t>
  </si>
  <si>
    <t xml:space="preserve">Exclude high-risk work from the supported flow and provide an appropriate professional hand-off.</t>
  </si>
  <si>
    <t xml:space="preserve">100 % of high-risk test prompts refused with hand-off; no BOM shown.</t>
  </si>
  <si>
    <t xml:space="preserve">DC-22, DC-05</t>
  </si>
  <si>
    <t xml:space="preserve">SR-10</t>
  </si>
  <si>
    <t xml:space="preserve">Governance</t>
  </si>
  <si>
    <t xml:space="preserve">Qualified reviewers approve project templates and release-blocking test cases before public mounting guidance.</t>
  </si>
  <si>
    <t xml:space="preserve">Template status 'reviewed' required before use.</t>
  </si>
  <si>
    <t xml:space="preserve">DC-41, DC-32</t>
  </si>
  <si>
    <t xml:space="preserve">NFR-01</t>
  </si>
  <si>
    <t xml:space="preserve">Non-functional</t>
  </si>
  <si>
    <t xml:space="preserve">Usability</t>
  </si>
  <si>
    <t xml:space="preserve">Mobile-first; core flow completable in under two minutes in usability testing without instructions.</t>
  </si>
  <si>
    <t xml:space="preserve">Usability test: basic flow &lt; 2 min without help.</t>
  </si>
  <si>
    <t xml:space="preserve">§7</t>
  </si>
  <si>
    <t xml:space="preserve">DC-01, DC-04, DC-39</t>
  </si>
  <si>
    <t xml:space="preserve">NFR-02</t>
  </si>
  <si>
    <t xml:space="preserve">Performance</t>
  </si>
  <si>
    <t xml:space="preserve">Catalogue lookup under one second; bounded MVP list generation under five seconds. For a multi-step pilot plan, show progress and target under 60 s at p95.</t>
  </si>
  <si>
    <t xml:space="preserve">Measured on test set.</t>
  </si>
  <si>
    <t xml:space="preserve">DC-13, DC-24, DC-30</t>
  </si>
  <si>
    <t xml:space="preserve">NFR-03</t>
  </si>
  <si>
    <t xml:space="preserve">Reliability</t>
  </si>
  <si>
    <t xml:space="preserve">If the model fails, offer predefined project templates; recover partial state. Do not proceed when a required validation service fails.</t>
  </si>
  <si>
    <t xml:space="preserve">Fault test: model down -&gt; templates offered, no crash.</t>
  </si>
  <si>
    <t xml:space="preserve">DC-13, DC-26, DC-14</t>
  </si>
  <si>
    <t xml:space="preserve">NFR-04</t>
  </si>
  <si>
    <t xml:space="preserve">Privacy</t>
  </si>
  <si>
    <t xml:space="preserve">GDPR principles; no mandatory login; minimise personal data sent to model providers; document retention, deletion and vendor handling.</t>
  </si>
  <si>
    <t xml:space="preserve">Privacy checklist reviewed.</t>
  </si>
  <si>
    <t xml:space="preserve">DC-37</t>
  </si>
  <si>
    <t xml:space="preserve">NFR-05</t>
  </si>
  <si>
    <t xml:space="preserve">Transparency</t>
  </si>
  <si>
    <t xml:space="preserve">Label AI-generated guidance; distinguish estimates, confirmed facts and verified specifications. Quantities are estimates unless validated.</t>
  </si>
  <si>
    <t xml:space="preserve">UI check: AI notice and labels visible.</t>
  </si>
  <si>
    <t xml:space="preserve">DC-04, DC-02, DC-36</t>
  </si>
  <si>
    <t xml:space="preserve">NFR-06</t>
  </si>
  <si>
    <t xml:space="preserve">Security</t>
  </si>
  <si>
    <t xml:space="preserve">Encryption, least privilege, upload scanning, tenant isolation, rate limits and redacted logs; restrict tools and outbound domains.</t>
  </si>
  <si>
    <t xml:space="preserve">Security review.</t>
  </si>
  <si>
    <t xml:space="preserve">NFR-07</t>
  </si>
  <si>
    <t xml:space="preserve">Untrusted input</t>
  </si>
  <si>
    <t xml:space="preserve">Treat retailer pages, uploaded images, OCR text and manuals as data, never as instructions to the system.</t>
  </si>
  <si>
    <t xml:space="preserve">Verified by RB-09.</t>
  </si>
  <si>
    <t xml:space="preserve">DC-27, DC-17</t>
  </si>
  <si>
    <t xml:space="preserve">NFR-08</t>
  </si>
  <si>
    <t xml:space="preserve">Accessibility</t>
  </si>
  <si>
    <t xml:space="preserve">Accessible contrast, scalable text, screen-reader labels and a non-map shopping route.</t>
  </si>
  <si>
    <t xml:space="preserve">Accessibility check.</t>
  </si>
  <si>
    <t xml:space="preserve">DC-39</t>
  </si>
  <si>
    <t xml:space="preserve">NFR-09</t>
  </si>
  <si>
    <t xml:space="preserve">Language</t>
  </si>
  <si>
    <t xml:space="preserve">German and English; metric consistency and dimensional calculations tested in both.</t>
  </si>
  <si>
    <t xml:space="preserve">Tests run in DE and EN.</t>
  </si>
  <si>
    <t xml:space="preserve">DC-36, DC-17, DC-18</t>
  </si>
  <si>
    <t xml:space="preserve">NFR-10</t>
  </si>
  <si>
    <t xml:space="preserve">Maintainability</t>
  </si>
  <si>
    <t xml:space="preserve">Catalogue and project-template data separate from code and replaceable by authorised APIs/feeds.</t>
  </si>
  <si>
    <t xml:space="preserve">Code review: no product data in code.</t>
  </si>
  <si>
    <t xml:space="preserve">DC-30, DC-32, DC-35</t>
  </si>
  <si>
    <t xml:space="preserve">NFR-11</t>
  </si>
  <si>
    <t xml:space="preserve">Observability</t>
  </si>
  <si>
    <t xml:space="preserve">Track unsupported requests, escalations, incidents, source failures, latency and cost per completed project.</t>
  </si>
  <si>
    <t xml:space="preserve">Monitoring dashboard / log report.</t>
  </si>
  <si>
    <t xml:space="preserve">DC-38, DC-34</t>
  </si>
  <si>
    <t xml:space="preserve">DR-01</t>
  </si>
  <si>
    <t xml:space="preserve">Data</t>
  </si>
  <si>
    <t xml:space="preserve">Catalogue</t>
  </si>
  <si>
    <t xml:space="preserve">Product catalogue: curated mock JSON/CSV (~150-300 products across 5-10 project types); later authorised retailer PIM/API.</t>
  </si>
  <si>
    <t xml:space="preserve">Mock values labelled; every product has variant, size, load, wall types.</t>
  </si>
  <si>
    <t xml:space="preserve">§8</t>
  </si>
  <si>
    <t xml:space="preserve">DC-30</t>
  </si>
  <si>
    <t xml:space="preserve">DR-02</t>
  </si>
  <si>
    <t xml:space="preserve">Stock &amp; price</t>
  </si>
  <si>
    <t xml:space="preserve">Stock and price: static, clearly labelled mock values; later timestamped inventory source with agreed freshness policy.</t>
  </si>
  <si>
    <t xml:space="preserve">Every value has source + time; mock labelled.</t>
  </si>
  <si>
    <t xml:space="preserve">DC-35, DC-31</t>
  </si>
  <si>
    <t xml:space="preserve">DR-03</t>
  </si>
  <si>
    <t xml:space="preserve">Store layout</t>
  </si>
  <si>
    <t xml:space="preserve">Store layout: one store with aisle/zone values only if verified; later branch-specific planogram source.</t>
  </si>
  <si>
    <t xml:space="preserve">No aisle shown without a record.</t>
  </si>
  <si>
    <t xml:space="preserve">DC-31</t>
  </si>
  <si>
    <t xml:space="preserve">DR-04</t>
  </si>
  <si>
    <t xml:space="preserve">Templates</t>
  </si>
  <si>
    <t xml:space="preserve">Project templates: 5-10 reviewed templates with explicit quantity rules.</t>
  </si>
  <si>
    <t xml:space="preserve">Each template has required facts, questions, quantity rules, review status.</t>
  </si>
  <si>
    <t xml:space="preserve">DC-32, DC-41</t>
  </si>
  <si>
    <t xml:space="preserve">DR-05</t>
  </si>
  <si>
    <t xml:space="preserve">Model</t>
  </si>
  <si>
    <t xml:space="preserve">Model: commercial multimodal model for bounded intent/extraction and clarification; schema-validated outputs.</t>
  </si>
  <si>
    <t xml:space="preserve">All model outputs pass schema validation.</t>
  </si>
  <si>
    <t xml:space="preserve">DC-17, DC-26</t>
  </si>
  <si>
    <t xml:space="preserve">DR-06</t>
  </si>
  <si>
    <t xml:space="preserve">Sharing</t>
  </si>
  <si>
    <t xml:space="preserve">Sharing: link or PDF export; later retailer hand-off.</t>
  </si>
  <si>
    <t xml:space="preserve">Export contains only selected data.</t>
  </si>
  <si>
    <t xml:space="preserve">DR-07</t>
  </si>
  <si>
    <t xml:space="preserve">Evidence registry: source and retrieval time for curated records; later version, licence and lineage.</t>
  </si>
  <si>
    <t xml:space="preserve">Every check stored with rule, inputs, source, time.</t>
  </si>
  <si>
    <t xml:space="preserve">DC-34</t>
  </si>
  <si>
    <t xml:space="preserve">RB-01</t>
  </si>
  <si>
    <t xml:space="preserve">Release-blocking test</t>
  </si>
  <si>
    <t xml:space="preserve">Unknown wall substrate blocks final anchor selection.</t>
  </si>
  <si>
    <t xml:space="preserve">Test passes = no anchor shown.</t>
  </si>
  <si>
    <t xml:space="preserve">Gate</t>
  </si>
  <si>
    <t xml:space="preserve">§10</t>
  </si>
  <si>
    <t xml:space="preserve">DC-23, DC-24</t>
  </si>
  <si>
    <t xml:space="preserve">RB-02</t>
  </si>
  <si>
    <t xml:space="preserve">Photo without scale does not produce exact dimensions.</t>
  </si>
  <si>
    <t xml:space="preserve">Test passes = no exact dimension.</t>
  </si>
  <si>
    <t xml:space="preserve">DC-09, DC-21, DC-23</t>
  </si>
  <si>
    <t xml:space="preserve">RB-03</t>
  </si>
  <si>
    <t xml:space="preserve">Compatibility</t>
  </si>
  <si>
    <t xml:space="preserve">Similar-looking but wrong screw/variant is detected or remains unresolved.</t>
  </si>
  <si>
    <t xml:space="preserve">Test passes = mismatch flagged.</t>
  </si>
  <si>
    <t xml:space="preserve">DC-24, DC-25</t>
  </si>
  <si>
    <t xml:space="preserve">RB-04</t>
  </si>
  <si>
    <t xml:space="preserve">Increased intended load invalidates affected fixing decisions.</t>
  </si>
  <si>
    <t xml:space="preserve">Test passes = BOM revalidated.</t>
  </si>
  <si>
    <t xml:space="preserve">DC-16, DC-24</t>
  </si>
  <si>
    <t xml:space="preserve">RB-05</t>
  </si>
  <si>
    <t xml:space="preserve">Stale stock is labelled stale and offers a verification path.</t>
  </si>
  <si>
    <t xml:space="preserve">Test passes = stale label shown.</t>
  </si>
  <si>
    <t xml:space="preserve">DC-35, DC-04</t>
  </si>
  <si>
    <t xml:space="preserve">RB-06</t>
  </si>
  <si>
    <t xml:space="preserve">Missing map data never produces a fabricated aisle.</t>
  </si>
  <si>
    <t xml:space="preserve">Test passes = 'ask staff' shown.</t>
  </si>
  <si>
    <t xml:space="preserve">DC-31, DC-04</t>
  </si>
  <si>
    <t xml:space="preserve">RB-07</t>
  </si>
  <si>
    <t xml:space="preserve">Detector limits do not create false clearance for drilling.</t>
  </si>
  <si>
    <t xml:space="preserve">Test passes = warning always shown.</t>
  </si>
  <si>
    <t xml:space="preserve">RB-08</t>
  </si>
  <si>
    <t xml:space="preserve">Manufacturer manual wins if it conflicts with generated text.</t>
  </si>
  <si>
    <t xml:space="preserve">Test passes = manufacturer text shown.</t>
  </si>
  <si>
    <t xml:space="preserve">DC-33, DC-24</t>
  </si>
  <si>
    <t xml:space="preserve">RB-09</t>
  </si>
  <si>
    <t xml:space="preserve">Malicious instructions embedded in product data are ignored as instructions.</t>
  </si>
  <si>
    <t xml:space="preserve">Test passes = injection ignored.</t>
  </si>
  <si>
    <t xml:space="preserve">DC-27</t>
  </si>
  <si>
    <t xml:space="preserve">RB-10</t>
  </si>
  <si>
    <t xml:space="preserve">Retried checkout/reservation action cannot create duplicates.</t>
  </si>
  <si>
    <t xml:space="preserve">Test passes = one action only.</t>
  </si>
  <si>
    <t xml:space="preserve">RB-11</t>
  </si>
  <si>
    <t xml:space="preserve">Denied location permission leaves postcode search available.</t>
  </si>
  <si>
    <t xml:space="preserve">Test passes = postcode works.</t>
  </si>
  <si>
    <t xml:space="preserve">DC-12</t>
  </si>
  <si>
    <t xml:space="preserve">RB-12</t>
  </si>
  <si>
    <t xml:space="preserve">Offline</t>
  </si>
  <si>
    <t xml:space="preserve">Network loss leaves saved checklist readable and removes live-stock certainty.</t>
  </si>
  <si>
    <t xml:space="preserve">Test passes = list readable, stock stale.</t>
  </si>
  <si>
    <t xml:space="preserve">DC-06</t>
  </si>
  <si>
    <t xml:space="preserve">RB-13</t>
  </si>
  <si>
    <t xml:space="preserve">Ambiguous pack quantity prevents a misleading basket total.</t>
  </si>
  <si>
    <t xml:space="preserve">Test passes = total withheld/flagged.</t>
  </si>
  <si>
    <t xml:space="preserve">DC-24, DC-28</t>
  </si>
  <si>
    <t xml:space="preserve">RB-14</t>
  </si>
  <si>
    <t xml:space="preserve">A changed product during shopping triggers revalidation of affected assembly steps.</t>
  </si>
  <si>
    <t xml:space="preserve">Test passes = steps invalidated.</t>
  </si>
  <si>
    <t xml:space="preserve">DC-11, DC-16</t>
  </si>
  <si>
    <t xml:space="preserve">Method 1 – Design / architecture components</t>
  </si>
  <si>
    <t xml:space="preserve">Release needed is calculated from the team's picks in M1 Requirements (earliest release of any linked requirement)</t>
  </si>
  <si>
    <t xml:space="preserve">Layer</t>
  </si>
  <si>
    <t xml:space="preserve">Component</t>
  </si>
  <si>
    <t xml:space="preserve">Responsibility</t>
  </si>
  <si>
    <t xml:space="preserve">Must NOT do</t>
  </si>
  <si>
    <t xml:space="preserve"># linked requirements</t>
  </si>
  <si>
    <t xml:space="preserve">Release needed (from team picks)</t>
  </si>
  <si>
    <t xml:space="preserve">DC-01</t>
  </si>
  <si>
    <t xml:space="preserve">L1 Presentation</t>
  </si>
  <si>
    <t xml:space="preserve">Project entry screen (text + template picker)</t>
  </si>
  <si>
    <t xml:space="preserve">UI</t>
  </si>
  <si>
    <t xml:space="preserve">Free-text entry and choice of project template; start/resume project</t>
  </si>
  <si>
    <t xml:space="preserve">Show results before validation</t>
  </si>
  <si>
    <t xml:space="preserve">DC-02</t>
  </si>
  <si>
    <t xml:space="preserve">Project summary &amp; fact confirmation</t>
  </si>
  <si>
    <t xml:space="preserve">Show understood facts with status; user confirms/edits load, dimensions, wall type</t>
  </si>
  <si>
    <t xml:space="preserve">Use unconfirmed facts</t>
  </si>
  <si>
    <t xml:space="preserve">DC-03</t>
  </si>
  <si>
    <t xml:space="preserve">Clarification question UI</t>
  </si>
  <si>
    <t xml:space="preserve">Show max. 3 questions, allow skip</t>
  </si>
  <si>
    <t xml:space="preserve">Ask more than 3 at once</t>
  </si>
  <si>
    <t xml:space="preserve">DC-04</t>
  </si>
  <si>
    <t xml:space="preserve">BOM / shopping list view</t>
  </si>
  <si>
    <t xml:space="preserve">Materials, consumables, tools, PPE with quantity basis, price, stock, aisle/shelf, mock &amp; AI labels</t>
  </si>
  <si>
    <t xml:space="preserve">Display unvalidated items or invented aisles</t>
  </si>
  <si>
    <t xml:space="preserve">DC-05</t>
  </si>
  <si>
    <t xml:space="preserve">Safety banner &amp; hand-off UI</t>
  </si>
  <si>
    <t xml:space="preserve">Refusal, safety-blocked and detector warnings; 'hire a professional / ask staff'</t>
  </si>
  <si>
    <t xml:space="preserve">Be dismissible by AI text</t>
  </si>
  <si>
    <t xml:space="preserve">Checklist &amp; offline cache (PWA)</t>
  </si>
  <si>
    <t xml:space="preserve">Tick-off list, readable offline, stock marked stale</t>
  </si>
  <si>
    <t xml:space="preserve">Claim live stock offline</t>
  </si>
  <si>
    <t xml:space="preserve">Export / share module</t>
  </si>
  <si>
    <t xml:space="preserve">Link/PDF export of user-selected info</t>
  </si>
  <si>
    <t xml:space="preserve">Share unselected data</t>
  </si>
  <si>
    <t xml:space="preserve">DC-08</t>
  </si>
  <si>
    <t xml:space="preserve">Assembly guide view</t>
  </si>
  <si>
    <t xml:space="preserve">Step-by-step guide linked to BOM and reviewed sources</t>
  </si>
  <si>
    <t xml:space="preserve">Reference items not in BOM</t>
  </si>
  <si>
    <t xml:space="preserve">DC-09</t>
  </si>
  <si>
    <t xml:space="preserve">Photo capture &amp; role labelling</t>
  </si>
  <si>
    <t xml:space="preserve">Upload photos with explicit role</t>
  </si>
  <si>
    <t xml:space="preserve">Merge reference and room photos</t>
  </si>
  <si>
    <t xml:space="preserve">DC-10</t>
  </si>
  <si>
    <t xml:space="preserve">Voice input (speech-to-text)</t>
  </si>
  <si>
    <t xml:space="preserve">Transcribe speech, show editable transcript</t>
  </si>
  <si>
    <t xml:space="preserve">Use spoken values unconfirmed</t>
  </si>
  <si>
    <t xml:space="preserve">DC-11</t>
  </si>
  <si>
    <t xml:space="preserve">Barcode / product scanner</t>
  </si>
  <si>
    <t xml:space="preserve">Scan product during shopping, detect mismatch</t>
  </si>
  <si>
    <t xml:space="preserve">Accept a different variant silently</t>
  </si>
  <si>
    <t xml:space="preserve">Store search (postcode / location)</t>
  </si>
  <si>
    <t xml:space="preserve">Find store by postcode or optional location</t>
  </si>
  <si>
    <t xml:space="preserve">Block app if location denied</t>
  </si>
  <si>
    <t xml:space="preserve">DC-13</t>
  </si>
  <si>
    <t xml:space="preserve">L2 Application</t>
  </si>
  <si>
    <t xml:space="preserve">Orchestrator / flow controller</t>
  </si>
  <si>
    <t xml:space="preserve">Code</t>
  </si>
  <si>
    <t xml:space="preserve">Calls agents and gates in fixed order; handles retries/fallback</t>
  </si>
  <si>
    <t xml:space="preserve">Skip a gate</t>
  </si>
  <si>
    <t xml:space="preserve">DC-14</t>
  </si>
  <si>
    <t xml:space="preserve">Project state machine</t>
  </si>
  <si>
    <t xml:space="preserve">Draft -&gt; Needs clarification -&gt; ... ; exception states</t>
  </si>
  <si>
    <t xml:space="preserve">Advance state after a failed call</t>
  </si>
  <si>
    <t xml:space="preserve">DC-15</t>
  </si>
  <si>
    <t xml:space="preserve">Project persistence</t>
  </si>
  <si>
    <t xml:space="preserve">Save/resume/delete (session -&gt; local -&gt; backend)</t>
  </si>
  <si>
    <t xml:space="preserve">Require login</t>
  </si>
  <si>
    <t xml:space="preserve">DC-16</t>
  </si>
  <si>
    <t xml:space="preserve">Revalidation trigger</t>
  </si>
  <si>
    <t xml:space="preserve">Detect change of material/dimension/load/product; invalidate dependent lines</t>
  </si>
  <si>
    <t xml:space="preserve">Keep stale validation</t>
  </si>
  <si>
    <t xml:space="preserve">DC-17</t>
  </si>
  <si>
    <t xml:space="preserve">L3 AI (proposes)</t>
  </si>
  <si>
    <t xml:space="preserve">Intake agent</t>
  </si>
  <si>
    <t xml:space="preserve">AI</t>
  </si>
  <si>
    <t xml:space="preserve">Classify intent; extract candidate facts (status = observed)</t>
  </si>
  <si>
    <t xml:space="preserve">Decide products or safety</t>
  </si>
  <si>
    <t xml:space="preserve">DC-18</t>
  </si>
  <si>
    <t xml:space="preserve">Clarification agent</t>
  </si>
  <si>
    <t xml:space="preserve">Phrase questions for missing facts (DE/EN)</t>
  </si>
  <si>
    <t xml:space="preserve">Decide which facts are required</t>
  </si>
  <si>
    <t xml:space="preserve">DC-19</t>
  </si>
  <si>
    <t xml:space="preserve">Planner agent</t>
  </si>
  <si>
    <t xml:space="preserve">Propose BOM roles (board, bracket, plug, screw, tools, PPE)</t>
  </si>
  <si>
    <t xml:space="preserve">Return product names or prices</t>
  </si>
  <si>
    <t xml:space="preserve">DC-20</t>
  </si>
  <si>
    <t xml:space="preserve">Explanation generator</t>
  </si>
  <si>
    <t xml:space="preserve">Explain why items fit and what is unverified, from evidence log</t>
  </si>
  <si>
    <t xml:space="preserve">Weaken warnings</t>
  </si>
  <si>
    <t xml:space="preserve">DC-21</t>
  </si>
  <si>
    <t xml:space="preserve">Vision extraction agent</t>
  </si>
  <si>
    <t xml:space="preserve">Candidate objects/labels from photos</t>
  </si>
  <si>
    <t xml:space="preserve">Certify wall type, load or dimensions</t>
  </si>
  <si>
    <t xml:space="preserve">DC-22</t>
  </si>
  <si>
    <t xml:space="preserve">L4 Control (decides)</t>
  </si>
  <si>
    <t xml:space="preserve">G0 Scope / high-risk filter</t>
  </si>
  <si>
    <t xml:space="preserve">Detect electrical, gas, load-bearing, plumbing, roof -&gt; refuse</t>
  </si>
  <si>
    <t xml:space="preserve">Be overridden by AI</t>
  </si>
  <si>
    <t xml:space="preserve">DC-23</t>
  </si>
  <si>
    <t xml:space="preserve">G1 Required-facts check</t>
  </si>
  <si>
    <t xml:space="preserve">Template's safety facts confirmed? else ask / block</t>
  </si>
  <si>
    <t xml:space="preserve">Accept 'observed' facts for safety</t>
  </si>
  <si>
    <t xml:space="preserve">DC-24</t>
  </si>
  <si>
    <t xml:space="preserve">Rule engine (R-01...R-16)</t>
  </si>
  <si>
    <t xml:space="preserve">Variants, quantities, compatibility, load limits, detector/PPE rules</t>
  </si>
  <si>
    <t xml:space="preserve">Sum anchor ratings; hold limits in prompts</t>
  </si>
  <si>
    <t xml:space="preserve">DC-25</t>
  </si>
  <si>
    <t xml:space="preserve">G2 Catalogue check</t>
  </si>
  <si>
    <t xml:space="preserve">Every product ID exists in catalogue</t>
  </si>
  <si>
    <t xml:space="preserve">Accept unknown IDs</t>
  </si>
  <si>
    <t xml:space="preserve">DC-26</t>
  </si>
  <si>
    <t xml:space="preserve">G4 Output schema validator</t>
  </si>
  <si>
    <t xml:space="preserve">JSON schema check, max. 2 retries, fallback 'ask staff'</t>
  </si>
  <si>
    <t xml:space="preserve">Pass invalid output</t>
  </si>
  <si>
    <t xml:space="preserve">Input sanitiser / injection guard</t>
  </si>
  <si>
    <t xml:space="preserve">Treat text, transcripts, OCR, product data as data</t>
  </si>
  <si>
    <t xml:space="preserve">Execute embedded instructions</t>
  </si>
  <si>
    <t xml:space="preserve">DC-28</t>
  </si>
  <si>
    <t xml:space="preserve">Basket &amp; alternatives calculator</t>
  </si>
  <si>
    <t xml:space="preserve">Totals, pack quantities, cheaper/premium alternatives</t>
  </si>
  <si>
    <t xml:space="preserve">Show misleading totals</t>
  </si>
  <si>
    <t xml:space="preserve">DC-29</t>
  </si>
  <si>
    <t xml:space="preserve">Owned-item reconciler</t>
  </si>
  <si>
    <t xml:space="preserve">Deduct only confirmed suitable owned items</t>
  </si>
  <si>
    <t xml:space="preserve">Treat uncertain items as suitable</t>
  </si>
  <si>
    <t xml:space="preserve">L5 Data</t>
  </si>
  <si>
    <t xml:space="preserve">Product catalogue</t>
  </si>
  <si>
    <t xml:space="preserve">product_catalogue.csv (mock)</t>
  </si>
  <si>
    <t xml:space="preserve">Contain logic</t>
  </si>
  <si>
    <t xml:space="preserve">Store map / placement</t>
  </si>
  <si>
    <t xml:space="preserve">store_map.csv: aisle, shelf, qty, revision</t>
  </si>
  <si>
    <t xml:space="preserve">Hold unverified aisles</t>
  </si>
  <si>
    <t xml:space="preserve">DC-32</t>
  </si>
  <si>
    <t xml:space="preserve">Project templates</t>
  </si>
  <si>
    <t xml:space="preserve">Required facts, questions, BOM roles, quantity rules, review status</t>
  </si>
  <si>
    <t xml:space="preserve">Be used if not reviewed</t>
  </si>
  <si>
    <t xml:space="preserve">DC-33</t>
  </si>
  <si>
    <t xml:space="preserve">Manufacturer / system data</t>
  </si>
  <si>
    <t xml:space="preserve">System ratings, warnings, manuals (mock until verified)</t>
  </si>
  <si>
    <t xml:space="preserve">Evidence log</t>
  </si>
  <si>
    <t xml:space="preserve">Rule, inputs, source, time per check</t>
  </si>
  <si>
    <t xml:space="preserve">Be skipped</t>
  </si>
  <si>
    <t xml:space="preserve">DC-35</t>
  </si>
  <si>
    <t xml:space="preserve">Stock &amp; price source adapter</t>
  </si>
  <si>
    <t xml:space="preserve">Mock now; retailer API later; timestamps</t>
  </si>
  <si>
    <t xml:space="preserve">Present mock as live</t>
  </si>
  <si>
    <t xml:space="preserve">DC-36</t>
  </si>
  <si>
    <t xml:space="preserve">Cross-cutting</t>
  </si>
  <si>
    <t xml:space="preserve">Labelling &amp; i18n</t>
  </si>
  <si>
    <t xml:space="preserve">DE/EN texts, metric/EUR, AI notice, mock labels</t>
  </si>
  <si>
    <t xml:space="preserve">Mix units</t>
  </si>
  <si>
    <t xml:space="preserve">Security &amp; privacy</t>
  </si>
  <si>
    <t xml:space="preserve">API key off client, no login, data minimisation, retention, rate limits</t>
  </si>
  <si>
    <t xml:space="preserve">Send unnecessary personal data</t>
  </si>
  <si>
    <t xml:space="preserve">DC-38</t>
  </si>
  <si>
    <t xml:space="preserve">Observability &amp; monitoring</t>
  </si>
  <si>
    <t xml:space="preserve">Log escalations, failures, latency, cost</t>
  </si>
  <si>
    <t xml:space="preserve">Log personal data unredacted</t>
  </si>
  <si>
    <t xml:space="preserve">Accessibility &amp; mobile layout</t>
  </si>
  <si>
    <t xml:space="preserve">Contrast, scalable text, screen-reader labels, one-hand use</t>
  </si>
  <si>
    <t xml:space="preserve">Rely on map only</t>
  </si>
  <si>
    <t xml:space="preserve">Retailer integration</t>
  </si>
  <si>
    <t xml:space="preserve">Hand-off links, reservation (approved), associate sharing</t>
  </si>
  <si>
    <t xml:space="preserve">Imply purchase/reservation</t>
  </si>
  <si>
    <t xml:space="preserve">DC-41</t>
  </si>
  <si>
    <t xml:space="preserve">Template &amp; safety review process</t>
  </si>
  <si>
    <t xml:space="preserve">Process</t>
  </si>
  <si>
    <t xml:space="preserve">Human review/approval of templates and RB tests</t>
  </si>
  <si>
    <t xml:space="preserve">Release unreviewed mounting guidance</t>
  </si>
  <si>
    <t xml:space="preserve">Layers</t>
  </si>
  <si>
    <t xml:space="preserve">Mobile web UI the customer sees</t>
  </si>
  <si>
    <t xml:space="preserve">Orchestration, project state, persistence</t>
  </si>
  <si>
    <t xml:space="preserve">LLM agents: classify, extract, phrase, propose – never decide</t>
  </si>
  <si>
    <t xml:space="preserve">Deterministic code: gates G0–G4, rule engine – decides safety, products, quantities</t>
  </si>
  <si>
    <t xml:space="preserve">Catalogue, store map, templates, manufacturer data, evidence log</t>
  </si>
  <si>
    <t xml:space="preserve">Language, security/privacy, monitoring, accessibility, integration, review process</t>
  </si>
  <si>
    <t xml:space="preserve">Method 1 – Traceability matrix (requirement × design component)</t>
  </si>
  <si>
    <t xml:space="preserve">● = component implements or supports the requirement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</si>
  <si>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</si>
  <si>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</si>
  <si>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</si>
  <si>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</si>
  <si>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</si>
  <si>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●</t>
  </si>
  <si>
    <t xml:space="preserve">Count</t>
  </si>
  <si>
    <t xml:space="preserve">Method 2 – Proposed release &amp; MoSCoW per requirement</t>
  </si>
  <si>
    <t xml:space="preserve">Proposal by Claude for team review · change via 'Team decision' column</t>
  </si>
  <si>
    <t xml:space="preserve">Proposed release</t>
  </si>
  <si>
    <t xml:space="preserve">MoSCoW (in that release)</t>
  </si>
  <si>
    <t xml:space="preserve">Rationale</t>
  </si>
  <si>
    <t xml:space="preserve">Design components (for the part in the proposed release)</t>
  </si>
  <si>
    <t xml:space="preserve">Release no.</t>
  </si>
  <si>
    <t xml:space="preserve">Team decision</t>
  </si>
  <si>
    <t xml:space="preserve">R1</t>
  </si>
  <si>
    <t xml:space="preserve">Should</t>
  </si>
  <si>
    <t xml:space="preserve">Session-only save is enough for the demo; full persistence in R2</t>
  </si>
  <si>
    <t xml:space="preserve">Must</t>
  </si>
  <si>
    <t xml:space="preserve">R1 = free text only (core of UC-1). Photo part moves to R3 (adds most safety/privacy work)</t>
  </si>
  <si>
    <t xml:space="preserve">DC-01, DC-17</t>
  </si>
  <si>
    <t xml:space="preserve">Intent classification from text is the entry to the flow. Photo object extraction in R3</t>
  </si>
  <si>
    <t xml:space="preserve">DC-17, DC-02</t>
  </si>
  <si>
    <t xml:space="preserve">Confirmed load and wall type are safety-critical. Owned-item part covered by FR-07 (R2)</t>
  </si>
  <si>
    <t xml:space="preserve">DC-02, DC-23</t>
  </si>
  <si>
    <t xml:space="preserve">Questions are how missing safety facts are collected</t>
  </si>
  <si>
    <t xml:space="preserve">The shopping list is the core product value</t>
  </si>
  <si>
    <t xml:space="preserve">R2</t>
  </si>
  <si>
    <t xml:space="preserve">Valuable (problem P2) but not needed for a safe first flow</t>
  </si>
  <si>
    <t xml:space="preserve">Zero hallucinated products is a KPI</t>
  </si>
  <si>
    <t xml:space="preserve">Compatibility is the main differentiator (problem P1)</t>
  </si>
  <si>
    <t xml:space="preserve">R1 shows the quantity basis/rule ID; full explanations in R2</t>
  </si>
  <si>
    <t xml:space="preserve">Price, stock, aisle with mock labels - needed for the in-store use case</t>
  </si>
  <si>
    <t xml:space="preserve">Needs the core rule engine first</t>
  </si>
  <si>
    <t xml:space="preserve">R3</t>
  </si>
  <si>
    <t xml:space="preserve">Needs real store data / partner</t>
  </si>
  <si>
    <t xml:space="preserve">R1 has simple tick-off; offline PWA in R2</t>
  </si>
  <si>
    <t xml:space="preserve">Safety stops are non-negotiable</t>
  </si>
  <si>
    <t xml:space="preserve">Needs reviewed manufacturer sources</t>
  </si>
  <si>
    <t xml:space="preserve">Could</t>
  </si>
  <si>
    <t xml:space="preserve">Nice for sharing, low risk</t>
  </si>
  <si>
    <t xml:space="preserve">Needs verified branch map; R1 uses mock aisle via FR-11</t>
  </si>
  <si>
    <t xml:space="preserve">Needs scanner and live product data</t>
  </si>
  <si>
    <t xml:space="preserve">Depends on assembly guide (FR-16)</t>
  </si>
  <si>
    <t xml:space="preserve">Won't</t>
  </si>
  <si>
    <t xml:space="preserve">Requires retailer contract and API</t>
  </si>
  <si>
    <t xml:space="preserve">Pilot feature with store associates</t>
  </si>
  <si>
    <t xml:space="preserve">Multi-retailer data not available</t>
  </si>
  <si>
    <t xml:space="preserve">Voice as optional entry; visualisation beyond R3</t>
  </si>
  <si>
    <t xml:space="preserve">Fact status drives every safety gate</t>
  </si>
  <si>
    <t xml:space="preserve">R1: detector-limit part. Photo part becomes testable in R3</t>
  </si>
  <si>
    <t xml:space="preserve">Core mounting gate for UC-1</t>
  </si>
  <si>
    <t xml:space="preserve">Rule engine design decision from day 1</t>
  </si>
  <si>
    <t xml:space="preserve">Every drilling list needs the detector warning</t>
  </si>
  <si>
    <t xml:space="preserve">Fail-safe principle</t>
  </si>
  <si>
    <t xml:space="preserve">Catalogue safety_note shown; manuals added in R2</t>
  </si>
  <si>
    <t xml:space="preserve">User can edit load/wall type -&gt; must revalidate</t>
  </si>
  <si>
    <t xml:space="preserve">100 % refusal KPI</t>
  </si>
  <si>
    <t xml:space="preserve">R1: team review of mock templates. R3: qualified expert review (Must)</t>
  </si>
  <si>
    <t xml:space="preserve">In-store, one-hand use is the product context</t>
  </si>
  <si>
    <t xml:space="preserve">&lt; 5 s list target; p95 pilot target in R3</t>
  </si>
  <si>
    <t xml:space="preserve">Template fallback keeps the demo safe if the AI fails</t>
  </si>
  <si>
    <t xml:space="preserve">GDPR basics; no login</t>
  </si>
  <si>
    <t xml:space="preserve">EU AI Act transparency notice</t>
  </si>
  <si>
    <t xml:space="preserve">R1: API key off client, rate limit. Full security in R3</t>
  </si>
  <si>
    <t xml:space="preserve">Prompt-injection resistance is a release-blocking case</t>
  </si>
  <si>
    <t xml:space="preserve">Basic contrast in R1; full accessibility in R2</t>
  </si>
  <si>
    <t xml:space="preserve">German default + English toggle; bilingual test suite in R2</t>
  </si>
  <si>
    <t xml:space="preserve">Already given by CSV data; keep it</t>
  </si>
  <si>
    <t xml:space="preserve">Needed for the pilot, not for the demo</t>
  </si>
  <si>
    <t xml:space="preserve">Use existing 70-product CSV; extend in R2</t>
  </si>
  <si>
    <t xml:space="preserve">Mock price/stock, labelled</t>
  </si>
  <si>
    <t xml:space="preserve">Mock store map exists</t>
  </si>
  <si>
    <t xml:space="preserve">R1: 2 templates (hang shelf, hang picture). R2: 5-10</t>
  </si>
  <si>
    <t xml:space="preserve">Schema-validated model output</t>
  </si>
  <si>
    <t xml:space="preserve">Follows FR-17</t>
  </si>
  <si>
    <t xml:space="preserve">Simple evidence record per check; extended in R2</t>
  </si>
  <si>
    <t xml:space="preserve">Gate for UC-1</t>
  </si>
  <si>
    <t xml:space="preserve">Photo arrives in R3</t>
  </si>
  <si>
    <t xml:space="preserve">Compatibility core</t>
  </si>
  <si>
    <t xml:space="preserve">Follows SR-08</t>
  </si>
  <si>
    <t xml:space="preserve">Stock freshness logic in R2</t>
  </si>
  <si>
    <t xml:space="preserve">No invented aisle</t>
  </si>
  <si>
    <t xml:space="preserve">Detector warning</t>
  </si>
  <si>
    <t xml:space="preserve">Follows SR-07</t>
  </si>
  <si>
    <t xml:space="preserve">Follows NFR-07</t>
  </si>
  <si>
    <t xml:space="preserve">Reservation not in scope</t>
  </si>
  <si>
    <t xml:space="preserve">Store search arrives in R3</t>
  </si>
  <si>
    <t xml:space="preserve">Offline checklist arrives in R2</t>
  </si>
  <si>
    <t xml:space="preserve">Basket total in R1</t>
  </si>
  <si>
    <t xml:space="preserve">Scanner arrives in R3</t>
  </si>
  <si>
    <t xml:space="preserve">Method 2 – Which design components are built in which release</t>
  </si>
  <si>
    <t xml:space="preserve">Calculated from M2 Proposal · 'First needed in' = earliest release of any linked requirement</t>
  </si>
  <si>
    <t xml:space="preserve">First needed in</t>
  </si>
  <si>
    <t xml:space="preserve"># reqs R1</t>
  </si>
  <si>
    <t xml:space="preserve"># reqs R2</t>
  </si>
  <si>
    <t xml:space="preserve"># reqs R3</t>
  </si>
  <si>
    <t xml:space="preserve"># reqs Beyond</t>
  </si>
  <si>
    <t xml:space="preserve">What is built when</t>
  </si>
  <si>
    <t xml:space="preserve">R1 text + 2 templates · R2 5-10 templates</t>
  </si>
  <si>
    <t xml:space="preserve">R1 load/wall type confirm · R2 owned items · R3 photo facts</t>
  </si>
  <si>
    <t xml:space="preserve">R1 list with mock labels · R2 explanations, alternatives · R3 verified aisles</t>
  </si>
  <si>
    <t xml:space="preserve">R1 fixed pipeline G0→G4 · R3 backend hardening</t>
  </si>
  <si>
    <t xml:space="preserve">R1 session only · R2 local save · R3 backend</t>
  </si>
  <si>
    <t xml:space="preserve">R1 text intake · R3 photo/voice input</t>
  </si>
  <si>
    <t xml:space="preserve">R1 rules R-01…R-16 (mock limits) · R2 alternatives, manuals · R3 reviewed limits</t>
  </si>
  <si>
    <t xml:space="preserve">R1 2 templates · R2 5-10 templates · R3 expert-reviewed</t>
  </si>
  <si>
    <t xml:space="preserve">R1 catalogue safety_note · R2 manuals/system ratings</t>
  </si>
  <si>
    <t xml:space="preserve">R1 rule + inputs + time · R2 sources/versions</t>
  </si>
  <si>
    <t xml:space="preserve">R1 static mock · R2 freshness/stale · R3 retailer API</t>
  </si>
  <si>
    <t xml:space="preserve">R1 DE default + EN toggle · R2 bilingual tests</t>
  </si>
  <si>
    <t xml:space="preserve">R1 key off client, no login · R3 full security review</t>
  </si>
  <si>
    <t xml:space="preserve">R1 team review · R3 qualified expert review</t>
  </si>
  <si>
    <t xml:space="preserve">Method 2 – Release plan, counts and V-model exit gates</t>
  </si>
  <si>
    <t xml:space="preserve">All counts are formulas over M2 Proposal / M2 Components by Release</t>
  </si>
  <si>
    <t xml:space="preserve">Goal</t>
  </si>
  <si>
    <t xml:space="preserve">One safe end-to-end flow: describe project → max. 3 questions → validated shopping list with price, stock, aisle</t>
  </si>
  <si>
    <t xml:space="preserve">Make the plan richer and reusable: explanations, alternatives, owned items, offline checklist, assembly guide</t>
  </si>
  <si>
    <t xml:space="preserve">Prepare a store pilot: photo &amp; voice entry, real store data, store search, scanner, associate hand-off</t>
  </si>
  <si>
    <t xml:space="preserve">Timeframe</t>
  </si>
  <si>
    <t xml:space="preserve">2-week sprint, 19 Oct – ~1 Nov 2026 (built)</t>
  </si>
  <si>
    <t xml:space="preserve">After the course (roadmap)</t>
  </si>
  <si>
    <t xml:space="preserve">After R2 (roadmap)</t>
  </si>
  <si>
    <t xml:space="preserve">Use cases</t>
  </si>
  <si>
    <t xml:space="preserve">UC-1 hang 20 kg shelf · UC-3 hang picture/mirror · UC-5 high-risk refusal</t>
  </si>
  <si>
    <t xml:space="preserve">+ UC-2 freestanding furniture · UC-4 paint a room</t>
  </si>
  <si>
    <t xml:space="preserve">+ photo-based part identification</t>
  </si>
  <si>
    <t xml:space="preserve">Architecture focus</t>
  </si>
  <si>
    <t xml:space="preserve">Walking skeleton through all 5 layers: UI, orchestrator, intake/clarification/planner agents, gates G0–G4 + rule engine, CSV data</t>
  </si>
  <si>
    <t xml:space="preserve">Widen L1/L4/L5: explanation generator, alternatives calculator, owned-item reconciler, manufacturer data, offline PWA</t>
  </si>
  <si>
    <t xml:space="preserve">Add new inputs and integrations: vision agent, voice, scanner, store search, retailer adapter, monitoring, full security</t>
  </si>
  <si>
    <t xml:space="preserve">Verification (exit gate)</t>
  </si>
  <si>
    <t xml:space="preserve">Release-blocking tests in R1 pass (see count below) + unit tests of rule engine</t>
  </si>
  <si>
    <t xml:space="preserve">R1 tests re-run (regression) + R2 tests</t>
  </si>
  <si>
    <t xml:space="preserve">All release-blocking tests except Beyond</t>
  </si>
  <si>
    <t xml:space="preserve">Validation KPI</t>
  </si>
  <si>
    <t xml:space="preserve">0 % hallucinated products · 100 % high-risk refusal · list &lt; 5 s · ≥ 4/5 users finish in &lt; 2 min</t>
  </si>
  <si>
    <t xml:space="preserve">BOM completeness ≥ 90 % on 5-10 templates</t>
  </si>
  <si>
    <t xml:space="preserve">Pilot: 50-100 consented projects, variant precision ≥ 95 %</t>
  </si>
  <si>
    <t xml:space="preserve">Requirements per release (by type)</t>
  </si>
  <si>
    <t xml:space="preserve">Total</t>
  </si>
  <si>
    <t xml:space="preserve">MoSCoW per release</t>
  </si>
  <si>
    <t xml:space="preserve">MoSCoW</t>
  </si>
  <si>
    <t xml:space="preserve">Must share</t>
  </si>
  <si>
    <t xml:space="preserve">Target ≈ 60 % (DSDM guideline); R1 is higher because safety is fixed Must</t>
  </si>
  <si>
    <t xml:space="preserve">Design components first needed (by layer)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</si>
</sst>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D6"/>
      <rgbColor rgb="FFE4DFEC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3" t="s">
        <v>4</v>
      </c>
    </row>
    <row r="9" customFormat="false" ht="27.75" hidden="false" customHeight="true" outlineLevel="0" collapsed="false">
      <c r="B9" s="5" t="s">
        <v>5</v>
      </c>
      <c r="C9" s="6" t="s">
        <v>6</v>
      </c>
    </row>
    <row r="10" customFormat="false" ht="27.75" hidden="false" customHeight="true" outlineLevel="0" collapsed="false">
      <c r="B10" s="5" t="s">
        <v>7</v>
      </c>
      <c r="C10" s="6" t="s">
        <v>8</v>
      </c>
    </row>
    <row r="11" customFormat="false" ht="27.75" hidden="false" customHeight="true" outlineLevel="0" collapsed="false">
      <c r="B11" s="5" t="s">
        <v>9</v>
      </c>
      <c r="C11" s="6" t="s">
        <v>10</v>
      </c>
    </row>
    <row r="12" customFormat="false" ht="15" hidden="false" customHeight="false" outlineLevel="0" collapsed="false">
      <c r="B12" s="5" t="s">
        <v>11</v>
      </c>
      <c r="C12" s="6" t="s">
        <v>12</v>
      </c>
    </row>
    <row r="14" customFormat="false" ht="15" hidden="false" customHeight="false" outlineLevel="0" collapsed="false">
      <c r="B14" s="3" t="s">
        <v>13</v>
      </c>
    </row>
    <row r="15" customFormat="false" ht="15" hidden="false" customHeight="false" outlineLevel="0" collapsed="false">
      <c r="B15" s="5" t="s">
        <v>14</v>
      </c>
      <c r="C15" s="6" t="s">
        <v>15</v>
      </c>
    </row>
    <row r="16" customFormat="false" ht="15" hidden="false" customHeight="false" outlineLevel="0" collapsed="false">
      <c r="B16" s="5" t="s">
        <v>16</v>
      </c>
      <c r="C16" s="6" t="s">
        <v>17</v>
      </c>
    </row>
    <row r="17" customFormat="false" ht="27.75" hidden="false" customHeight="true" outlineLevel="0" collapsed="false">
      <c r="B17" s="5" t="s">
        <v>18</v>
      </c>
      <c r="C17" s="6" t="s">
        <v>19</v>
      </c>
    </row>
    <row r="18" customFormat="false" ht="27.75" hidden="false" customHeight="true" outlineLevel="0" collapsed="false">
      <c r="B18" s="5" t="s">
        <v>20</v>
      </c>
      <c r="C18" s="6" t="s">
        <v>21</v>
      </c>
    </row>
    <row r="19" customFormat="false" ht="27.75" hidden="false" customHeight="true" outlineLevel="0" collapsed="false">
      <c r="B19" s="5" t="s">
        <v>22</v>
      </c>
      <c r="C19" s="6" t="s">
        <v>23</v>
      </c>
    </row>
    <row r="20" customFormat="false" ht="15" hidden="false" customHeight="false" outlineLevel="0" collapsed="false">
      <c r="B20" s="5" t="s">
        <v>24</v>
      </c>
      <c r="C20" s="6" t="s">
        <v>25</v>
      </c>
    </row>
    <row r="22" customFormat="false" ht="15" hidden="false" customHeight="false" outlineLevel="0" collapsed="false">
      <c r="B22" s="3" t="s">
        <v>26</v>
      </c>
    </row>
    <row r="23" customFormat="false" ht="15" hidden="false" customHeight="false" outlineLevel="0" collapsed="false">
      <c r="B23" s="5" t="s">
        <v>27</v>
      </c>
      <c r="C23" s="6" t="s">
        <v>28</v>
      </c>
    </row>
    <row r="24" customFormat="false" ht="15" hidden="false" customHeight="false" outlineLevel="0" collapsed="false">
      <c r="B24" s="5" t="s">
        <v>29</v>
      </c>
      <c r="C24" s="6" t="s">
        <v>30</v>
      </c>
    </row>
    <row r="25" customFormat="false" ht="27.75" hidden="false" customHeight="true" outlineLevel="0" collapsed="false">
      <c r="B25" s="5" t="s">
        <v>31</v>
      </c>
      <c r="C25" s="6" t="s">
        <v>32</v>
      </c>
    </row>
    <row r="26" customFormat="false" ht="27.75" hidden="false" customHeight="true" outlineLevel="0" collapsed="false">
      <c r="B26" s="5" t="s">
        <v>33</v>
      </c>
      <c r="C26" s="6" t="s">
        <v>34</v>
      </c>
    </row>
    <row r="27" customFormat="false" ht="27.75" hidden="false" customHeight="true" outlineLevel="0" collapsed="false">
      <c r="B27" s="5" t="s">
        <v>35</v>
      </c>
      <c r="C27" s="6" t="s">
        <v>36</v>
      </c>
    </row>
    <row r="28" customFormat="false" ht="27.75" hidden="false" customHeight="true" outlineLevel="0" collapsed="false">
      <c r="B28" s="5" t="s">
        <v>37</v>
      </c>
      <c r="C28" s="6" t="s">
        <v>38</v>
      </c>
    </row>
    <row r="29" customFormat="false" ht="27.75" hidden="false" customHeight="true" outlineLevel="0" collapsed="false">
      <c r="B29" s="5" t="s">
        <v>39</v>
      </c>
      <c r="C29" s="6" t="s">
        <v>40</v>
      </c>
    </row>
    <row r="30" customFormat="false" ht="15" hidden="false" customHeight="false" outlineLevel="0" collapsed="false">
      <c r="B30" s="5" t="s">
        <v>41</v>
      </c>
      <c r="C30" s="6" t="s">
        <v>42</v>
      </c>
    </row>
    <row r="31" customFormat="false" ht="27.75" hidden="false" customHeight="true" outlineLevel="0" collapsed="false">
      <c r="B31" s="5" t="s">
        <v>14</v>
      </c>
      <c r="C31" s="6" t="s">
        <v>43</v>
      </c>
    </row>
    <row r="33" customFormat="false" ht="15" hidden="false" customHeight="false" outlineLevel="0" collapsed="false">
      <c r="B33" s="3" t="s">
        <v>44</v>
      </c>
    </row>
    <row r="34" customFormat="false" ht="30" hidden="false" customHeight="true" outlineLevel="0" collapsed="false">
      <c r="B34" s="4" t="s">
        <v>45</v>
      </c>
      <c r="C34" s="4"/>
    </row>
    <row r="36" customFormat="false" ht="15" hidden="false" customHeight="false" outlineLevel="0" collapsed="false">
      <c r="B36" s="3" t="s">
        <v>46</v>
      </c>
    </row>
    <row r="37" customFormat="false" ht="15" hidden="false" customHeight="false" outlineLevel="0" collapsed="false">
      <c r="B37" s="7" t="s">
        <v>47</v>
      </c>
      <c r="C37" s="6" t="s">
        <v>48</v>
      </c>
    </row>
    <row r="38" customFormat="false" ht="15" hidden="false" customHeight="false" outlineLevel="0" collapsed="false">
      <c r="B38" s="5" t="s">
        <v>49</v>
      </c>
      <c r="C38" s="6" t="s">
        <v>50</v>
      </c>
    </row>
    <row r="39" customFormat="false" ht="27.75" hidden="false" customHeight="true" outlineLevel="0" collapsed="false">
      <c r="B39" s="5" t="s">
        <v>51</v>
      </c>
      <c r="C39" s="6" t="s">
        <v>52</v>
      </c>
    </row>
    <row r="40" customFormat="false" ht="27.75" hidden="false" customHeight="true" outlineLevel="0" collapsed="false">
      <c r="B40" s="5" t="s">
        <v>53</v>
      </c>
      <c r="C40" s="6" t="s">
        <v>54</v>
      </c>
    </row>
  </sheetData>
  <mergeCells count="2">
    <mergeCell ref="B6:C6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48"/>
    <col collapsed="false" customWidth="true" hidden="false" outlineLevel="0" max="5" min="5" style="0" width="45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46.25" hidden="false" customHeight="false" outlineLevel="0" collapsed="false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49</v>
      </c>
      <c r="G4" s="8" t="s">
        <v>62</v>
      </c>
      <c r="H4" s="8" t="s">
        <v>63</v>
      </c>
      <c r="I4" s="8" t="s">
        <v>64</v>
      </c>
      <c r="J4" s="8" t="s">
        <v>65</v>
      </c>
      <c r="K4" s="8" t="s">
        <v>66</v>
      </c>
      <c r="L4" s="8" t="s">
        <v>67</v>
      </c>
      <c r="M4" s="8" t="s">
        <v>68</v>
      </c>
    </row>
    <row r="5" customFormat="false" ht="23.85" hidden="false" customHeight="false" outlineLevel="0" collapsed="false">
      <c r="A5" s="9" t="s">
        <v>69</v>
      </c>
      <c r="B5" s="10" t="s">
        <v>70</v>
      </c>
      <c r="C5" s="6" t="s">
        <v>71</v>
      </c>
      <c r="D5" s="6" t="s">
        <v>72</v>
      </c>
      <c r="E5" s="6" t="s">
        <v>73</v>
      </c>
      <c r="F5" s="11" t="s">
        <v>74</v>
      </c>
      <c r="G5" s="11" t="s">
        <v>75</v>
      </c>
      <c r="H5" s="6" t="s">
        <v>76</v>
      </c>
      <c r="I5" s="12"/>
      <c r="J5" s="12"/>
      <c r="K5" s="12"/>
      <c r="L5" s="12"/>
      <c r="M5" s="11" t="str">
        <f aca="false">IFERROR(MATCH(J5,{"R1","R2","R3","Beyond"},0),"")</f>
        <v/>
      </c>
    </row>
    <row r="6" customFormat="false" ht="35.05" hidden="false" customHeight="false" outlineLevel="0" collapsed="false">
      <c r="A6" s="9" t="s">
        <v>77</v>
      </c>
      <c r="B6" s="10" t="s">
        <v>70</v>
      </c>
      <c r="C6" s="6" t="s">
        <v>78</v>
      </c>
      <c r="D6" s="6" t="s">
        <v>79</v>
      </c>
      <c r="E6" s="6" t="s">
        <v>80</v>
      </c>
      <c r="F6" s="11" t="s">
        <v>74</v>
      </c>
      <c r="G6" s="11" t="s">
        <v>75</v>
      </c>
      <c r="H6" s="6" t="s">
        <v>81</v>
      </c>
      <c r="I6" s="12"/>
      <c r="J6" s="12"/>
      <c r="K6" s="12"/>
      <c r="L6" s="12"/>
      <c r="M6" s="11" t="str">
        <f aca="false">IFERROR(MATCH(J6,{"R1","R2","R3","Beyond"},0),"")</f>
        <v/>
      </c>
    </row>
    <row r="7" customFormat="false" ht="35.05" hidden="false" customHeight="false" outlineLevel="0" collapsed="false">
      <c r="A7" s="9" t="s">
        <v>82</v>
      </c>
      <c r="B7" s="10" t="s">
        <v>70</v>
      </c>
      <c r="C7" s="6" t="s">
        <v>78</v>
      </c>
      <c r="D7" s="6" t="s">
        <v>83</v>
      </c>
      <c r="E7" s="6" t="s">
        <v>84</v>
      </c>
      <c r="F7" s="11" t="s">
        <v>74</v>
      </c>
      <c r="G7" s="11" t="s">
        <v>75</v>
      </c>
      <c r="H7" s="6" t="s">
        <v>85</v>
      </c>
      <c r="I7" s="12"/>
      <c r="J7" s="12"/>
      <c r="K7" s="12"/>
      <c r="L7" s="12"/>
      <c r="M7" s="11" t="str">
        <f aca="false">IFERROR(MATCH(J7,{"R1","R2","R3","Beyond"},0),"")</f>
        <v/>
      </c>
    </row>
    <row r="8" customFormat="false" ht="35.05" hidden="false" customHeight="false" outlineLevel="0" collapsed="false">
      <c r="A8" s="9" t="s">
        <v>86</v>
      </c>
      <c r="B8" s="10" t="s">
        <v>70</v>
      </c>
      <c r="C8" s="6" t="s">
        <v>87</v>
      </c>
      <c r="D8" s="6" t="s">
        <v>88</v>
      </c>
      <c r="E8" s="6" t="s">
        <v>89</v>
      </c>
      <c r="F8" s="11" t="s">
        <v>74</v>
      </c>
      <c r="G8" s="11" t="s">
        <v>75</v>
      </c>
      <c r="H8" s="6" t="s">
        <v>90</v>
      </c>
      <c r="I8" s="12"/>
      <c r="J8" s="12"/>
      <c r="K8" s="12"/>
      <c r="L8" s="12"/>
      <c r="M8" s="11" t="str">
        <f aca="false">IFERROR(MATCH(J8,{"R1","R2","R3","Beyond"},0),"")</f>
        <v/>
      </c>
    </row>
    <row r="9" customFormat="false" ht="35.05" hidden="false" customHeight="false" outlineLevel="0" collapsed="false">
      <c r="A9" s="9" t="s">
        <v>91</v>
      </c>
      <c r="B9" s="10" t="s">
        <v>70</v>
      </c>
      <c r="C9" s="6" t="s">
        <v>87</v>
      </c>
      <c r="D9" s="6" t="s">
        <v>92</v>
      </c>
      <c r="E9" s="6" t="s">
        <v>93</v>
      </c>
      <c r="F9" s="11" t="s">
        <v>74</v>
      </c>
      <c r="G9" s="11" t="s">
        <v>75</v>
      </c>
      <c r="H9" s="6" t="s">
        <v>94</v>
      </c>
      <c r="I9" s="12"/>
      <c r="J9" s="12"/>
      <c r="K9" s="12"/>
      <c r="L9" s="12"/>
      <c r="M9" s="11" t="str">
        <f aca="false">IFERROR(MATCH(J9,{"R1","R2","R3","Beyond"},0),"")</f>
        <v/>
      </c>
    </row>
    <row r="10" customFormat="false" ht="57.45" hidden="false" customHeight="false" outlineLevel="0" collapsed="false">
      <c r="A10" s="9" t="s">
        <v>95</v>
      </c>
      <c r="B10" s="10" t="s">
        <v>70</v>
      </c>
      <c r="C10" s="6" t="s">
        <v>96</v>
      </c>
      <c r="D10" s="6" t="s">
        <v>97</v>
      </c>
      <c r="E10" s="6" t="s">
        <v>98</v>
      </c>
      <c r="F10" s="11" t="s">
        <v>74</v>
      </c>
      <c r="G10" s="11" t="s">
        <v>75</v>
      </c>
      <c r="H10" s="6" t="s">
        <v>99</v>
      </c>
      <c r="I10" s="12"/>
      <c r="J10" s="12"/>
      <c r="K10" s="12"/>
      <c r="L10" s="12"/>
      <c r="M10" s="11" t="str">
        <f aca="false">IFERROR(MATCH(J10,{"R1","R2","R3","Beyond"},0),"")</f>
        <v/>
      </c>
    </row>
    <row r="11" customFormat="false" ht="23.85" hidden="false" customHeight="false" outlineLevel="0" collapsed="false">
      <c r="A11" s="9" t="s">
        <v>100</v>
      </c>
      <c r="B11" s="10" t="s">
        <v>70</v>
      </c>
      <c r="C11" s="6" t="s">
        <v>96</v>
      </c>
      <c r="D11" s="6" t="s">
        <v>101</v>
      </c>
      <c r="E11" s="6" t="s">
        <v>102</v>
      </c>
      <c r="F11" s="11" t="s">
        <v>74</v>
      </c>
      <c r="G11" s="11" t="s">
        <v>75</v>
      </c>
      <c r="H11" s="6" t="s">
        <v>103</v>
      </c>
      <c r="I11" s="12"/>
      <c r="J11" s="12"/>
      <c r="K11" s="12"/>
      <c r="L11" s="12"/>
      <c r="M11" s="11" t="str">
        <f aca="false">IFERROR(MATCH(J11,{"R1","R2","R3","Beyond"},0),"")</f>
        <v/>
      </c>
    </row>
    <row r="12" customFormat="false" ht="35.05" hidden="false" customHeight="false" outlineLevel="0" collapsed="false">
      <c r="A12" s="9" t="s">
        <v>104</v>
      </c>
      <c r="B12" s="10" t="s">
        <v>70</v>
      </c>
      <c r="C12" s="6" t="s">
        <v>105</v>
      </c>
      <c r="D12" s="6" t="s">
        <v>106</v>
      </c>
      <c r="E12" s="6" t="s">
        <v>107</v>
      </c>
      <c r="F12" s="11" t="s">
        <v>74</v>
      </c>
      <c r="G12" s="11" t="s">
        <v>75</v>
      </c>
      <c r="H12" s="6" t="s">
        <v>108</v>
      </c>
      <c r="I12" s="12"/>
      <c r="J12" s="12"/>
      <c r="K12" s="12"/>
      <c r="L12" s="12"/>
      <c r="M12" s="11" t="str">
        <f aca="false">IFERROR(MATCH(J12,{"R1","R2","R3","Beyond"},0),"")</f>
        <v/>
      </c>
    </row>
    <row r="13" customFormat="false" ht="35.05" hidden="false" customHeight="false" outlineLevel="0" collapsed="false">
      <c r="A13" s="9" t="s">
        <v>109</v>
      </c>
      <c r="B13" s="10" t="s">
        <v>70</v>
      </c>
      <c r="C13" s="6" t="s">
        <v>105</v>
      </c>
      <c r="D13" s="6" t="s">
        <v>110</v>
      </c>
      <c r="E13" s="6" t="s">
        <v>111</v>
      </c>
      <c r="F13" s="11" t="s">
        <v>74</v>
      </c>
      <c r="G13" s="11" t="s">
        <v>75</v>
      </c>
      <c r="H13" s="6" t="s">
        <v>112</v>
      </c>
      <c r="I13" s="12"/>
      <c r="J13" s="12"/>
      <c r="K13" s="12"/>
      <c r="L13" s="12"/>
      <c r="M13" s="11" t="str">
        <f aca="false">IFERROR(MATCH(J13,{"R1","R2","R3","Beyond"},0),"")</f>
        <v/>
      </c>
    </row>
    <row r="14" customFormat="false" ht="23.85" hidden="false" customHeight="false" outlineLevel="0" collapsed="false">
      <c r="A14" s="9" t="s">
        <v>113</v>
      </c>
      <c r="B14" s="10" t="s">
        <v>70</v>
      </c>
      <c r="C14" s="6" t="s">
        <v>105</v>
      </c>
      <c r="D14" s="6" t="s">
        <v>114</v>
      </c>
      <c r="E14" s="6" t="s">
        <v>115</v>
      </c>
      <c r="F14" s="11" t="s">
        <v>74</v>
      </c>
      <c r="G14" s="11" t="s">
        <v>75</v>
      </c>
      <c r="H14" s="6" t="s">
        <v>116</v>
      </c>
      <c r="I14" s="12"/>
      <c r="J14" s="12"/>
      <c r="K14" s="12"/>
      <c r="L14" s="12"/>
      <c r="M14" s="11" t="str">
        <f aca="false">IFERROR(MATCH(J14,{"R1","R2","R3","Beyond"},0),"")</f>
        <v/>
      </c>
    </row>
    <row r="15" customFormat="false" ht="35.05" hidden="false" customHeight="false" outlineLevel="0" collapsed="false">
      <c r="A15" s="9" t="s">
        <v>117</v>
      </c>
      <c r="B15" s="10" t="s">
        <v>70</v>
      </c>
      <c r="C15" s="6" t="s">
        <v>118</v>
      </c>
      <c r="D15" s="6" t="s">
        <v>119</v>
      </c>
      <c r="E15" s="6" t="s">
        <v>120</v>
      </c>
      <c r="F15" s="11" t="s">
        <v>74</v>
      </c>
      <c r="G15" s="11" t="s">
        <v>75</v>
      </c>
      <c r="H15" s="6" t="s">
        <v>121</v>
      </c>
      <c r="I15" s="12"/>
      <c r="J15" s="12"/>
      <c r="K15" s="12"/>
      <c r="L15" s="12"/>
      <c r="M15" s="11" t="str">
        <f aca="false">IFERROR(MATCH(J15,{"R1","R2","R3","Beyond"},0),"")</f>
        <v/>
      </c>
    </row>
    <row r="16" customFormat="false" ht="35.05" hidden="false" customHeight="false" outlineLevel="0" collapsed="false">
      <c r="A16" s="9" t="s">
        <v>122</v>
      </c>
      <c r="B16" s="10" t="s">
        <v>70</v>
      </c>
      <c r="C16" s="6" t="s">
        <v>118</v>
      </c>
      <c r="D16" s="6" t="s">
        <v>123</v>
      </c>
      <c r="E16" s="6" t="s">
        <v>124</v>
      </c>
      <c r="F16" s="11" t="s">
        <v>74</v>
      </c>
      <c r="G16" s="11" t="s">
        <v>75</v>
      </c>
      <c r="H16" s="6" t="s">
        <v>125</v>
      </c>
      <c r="I16" s="12"/>
      <c r="J16" s="12"/>
      <c r="K16" s="12"/>
      <c r="L16" s="12"/>
      <c r="M16" s="11" t="str">
        <f aca="false">IFERROR(MATCH(J16,{"R1","R2","R3","Beyond"},0),"")</f>
        <v/>
      </c>
    </row>
    <row r="17" customFormat="false" ht="23.85" hidden="false" customHeight="false" outlineLevel="0" collapsed="false">
      <c r="A17" s="9" t="s">
        <v>126</v>
      </c>
      <c r="B17" s="10" t="s">
        <v>70</v>
      </c>
      <c r="C17" s="6" t="s">
        <v>118</v>
      </c>
      <c r="D17" s="6" t="s">
        <v>127</v>
      </c>
      <c r="E17" s="6" t="s">
        <v>128</v>
      </c>
      <c r="F17" s="11" t="s">
        <v>74</v>
      </c>
      <c r="G17" s="11" t="s">
        <v>75</v>
      </c>
      <c r="H17" s="6" t="s">
        <v>129</v>
      </c>
      <c r="I17" s="12"/>
      <c r="J17" s="12"/>
      <c r="K17" s="12"/>
      <c r="L17" s="12"/>
      <c r="M17" s="11" t="str">
        <f aca="false">IFERROR(MATCH(J17,{"R1","R2","R3","Beyond"},0),"")</f>
        <v/>
      </c>
    </row>
    <row r="18" customFormat="false" ht="23.85" hidden="false" customHeight="false" outlineLevel="0" collapsed="false">
      <c r="A18" s="9" t="s">
        <v>130</v>
      </c>
      <c r="B18" s="10" t="s">
        <v>70</v>
      </c>
      <c r="C18" s="6" t="s">
        <v>118</v>
      </c>
      <c r="D18" s="6" t="s">
        <v>131</v>
      </c>
      <c r="E18" s="6" t="s">
        <v>132</v>
      </c>
      <c r="F18" s="11" t="s">
        <v>74</v>
      </c>
      <c r="G18" s="11" t="s">
        <v>75</v>
      </c>
      <c r="H18" s="6" t="s">
        <v>133</v>
      </c>
      <c r="I18" s="12"/>
      <c r="J18" s="12"/>
      <c r="K18" s="12"/>
      <c r="L18" s="12"/>
      <c r="M18" s="11" t="str">
        <f aca="false">IFERROR(MATCH(J18,{"R1","R2","R3","Beyond"},0),"")</f>
        <v/>
      </c>
    </row>
    <row r="19" customFormat="false" ht="35.05" hidden="false" customHeight="false" outlineLevel="0" collapsed="false">
      <c r="A19" s="9" t="s">
        <v>134</v>
      </c>
      <c r="B19" s="10" t="s">
        <v>70</v>
      </c>
      <c r="C19" s="6" t="s">
        <v>135</v>
      </c>
      <c r="D19" s="6" t="s">
        <v>136</v>
      </c>
      <c r="E19" s="6" t="s">
        <v>137</v>
      </c>
      <c r="F19" s="11" t="s">
        <v>74</v>
      </c>
      <c r="G19" s="11" t="s">
        <v>75</v>
      </c>
      <c r="H19" s="6" t="s">
        <v>138</v>
      </c>
      <c r="I19" s="12"/>
      <c r="J19" s="12"/>
      <c r="K19" s="12"/>
      <c r="L19" s="12"/>
      <c r="M19" s="11" t="str">
        <f aca="false">IFERROR(MATCH(J19,{"R1","R2","R3","Beyond"},0),"")</f>
        <v/>
      </c>
    </row>
    <row r="20" customFormat="false" ht="35.05" hidden="false" customHeight="false" outlineLevel="0" collapsed="false">
      <c r="A20" s="9" t="s">
        <v>139</v>
      </c>
      <c r="B20" s="10" t="s">
        <v>70</v>
      </c>
      <c r="C20" s="6" t="s">
        <v>140</v>
      </c>
      <c r="D20" s="6" t="s">
        <v>141</v>
      </c>
      <c r="E20" s="6" t="s">
        <v>142</v>
      </c>
      <c r="F20" s="11" t="s">
        <v>74</v>
      </c>
      <c r="G20" s="11" t="s">
        <v>75</v>
      </c>
      <c r="H20" s="6" t="s">
        <v>143</v>
      </c>
      <c r="I20" s="12"/>
      <c r="J20" s="12"/>
      <c r="K20" s="12"/>
      <c r="L20" s="12"/>
      <c r="M20" s="11" t="str">
        <f aca="false">IFERROR(MATCH(J20,{"R1","R2","R3","Beyond"},0),"")</f>
        <v/>
      </c>
    </row>
    <row r="21" customFormat="false" ht="23.85" hidden="false" customHeight="false" outlineLevel="0" collapsed="false">
      <c r="A21" s="9" t="s">
        <v>144</v>
      </c>
      <c r="B21" s="10" t="s">
        <v>70</v>
      </c>
      <c r="C21" s="6" t="s">
        <v>118</v>
      </c>
      <c r="D21" s="6" t="s">
        <v>145</v>
      </c>
      <c r="E21" s="6" t="s">
        <v>146</v>
      </c>
      <c r="F21" s="11" t="s">
        <v>74</v>
      </c>
      <c r="G21" s="11" t="s">
        <v>75</v>
      </c>
      <c r="H21" s="6" t="s">
        <v>147</v>
      </c>
      <c r="I21" s="12"/>
      <c r="J21" s="12"/>
      <c r="K21" s="12"/>
      <c r="L21" s="12"/>
      <c r="M21" s="11" t="str">
        <f aca="false">IFERROR(MATCH(J21,{"R1","R2","R3","Beyond"},0),"")</f>
        <v/>
      </c>
    </row>
    <row r="22" customFormat="false" ht="23.85" hidden="false" customHeight="false" outlineLevel="0" collapsed="false">
      <c r="A22" s="9" t="s">
        <v>148</v>
      </c>
      <c r="B22" s="10" t="s">
        <v>70</v>
      </c>
      <c r="C22" s="6" t="s">
        <v>118</v>
      </c>
      <c r="D22" s="6" t="s">
        <v>149</v>
      </c>
      <c r="E22" s="6" t="s">
        <v>150</v>
      </c>
      <c r="F22" s="11" t="s">
        <v>151</v>
      </c>
      <c r="G22" s="11" t="s">
        <v>75</v>
      </c>
      <c r="H22" s="6" t="s">
        <v>152</v>
      </c>
      <c r="I22" s="12"/>
      <c r="J22" s="12"/>
      <c r="K22" s="12"/>
      <c r="L22" s="12"/>
      <c r="M22" s="11" t="str">
        <f aca="false">IFERROR(MATCH(J22,{"R1","R2","R3","Beyond"},0),"")</f>
        <v/>
      </c>
    </row>
    <row r="23" customFormat="false" ht="23.85" hidden="false" customHeight="false" outlineLevel="0" collapsed="false">
      <c r="A23" s="9" t="s">
        <v>153</v>
      </c>
      <c r="B23" s="10" t="s">
        <v>70</v>
      </c>
      <c r="C23" s="6" t="s">
        <v>118</v>
      </c>
      <c r="D23" s="6" t="s">
        <v>154</v>
      </c>
      <c r="E23" s="6" t="s">
        <v>155</v>
      </c>
      <c r="F23" s="11" t="s">
        <v>151</v>
      </c>
      <c r="G23" s="11" t="s">
        <v>75</v>
      </c>
      <c r="H23" s="6" t="s">
        <v>156</v>
      </c>
      <c r="I23" s="12"/>
      <c r="J23" s="12"/>
      <c r="K23" s="12"/>
      <c r="L23" s="12"/>
      <c r="M23" s="11" t="str">
        <f aca="false">IFERROR(MATCH(J23,{"R1","R2","R3","Beyond"},0),"")</f>
        <v/>
      </c>
    </row>
    <row r="24" customFormat="false" ht="23.85" hidden="false" customHeight="false" outlineLevel="0" collapsed="false">
      <c r="A24" s="9" t="s">
        <v>157</v>
      </c>
      <c r="B24" s="10" t="s">
        <v>70</v>
      </c>
      <c r="C24" s="6" t="s">
        <v>140</v>
      </c>
      <c r="D24" s="6" t="s">
        <v>158</v>
      </c>
      <c r="E24" s="6" t="s">
        <v>159</v>
      </c>
      <c r="F24" s="11" t="s">
        <v>151</v>
      </c>
      <c r="G24" s="11" t="s">
        <v>75</v>
      </c>
      <c r="H24" s="6" t="s">
        <v>160</v>
      </c>
      <c r="I24" s="12"/>
      <c r="J24" s="12"/>
      <c r="K24" s="12"/>
      <c r="L24" s="12"/>
      <c r="M24" s="11" t="str">
        <f aca="false">IFERROR(MATCH(J24,{"R1","R2","R3","Beyond"},0),"")</f>
        <v/>
      </c>
    </row>
    <row r="25" customFormat="false" ht="23.85" hidden="false" customHeight="false" outlineLevel="0" collapsed="false">
      <c r="A25" s="9" t="s">
        <v>161</v>
      </c>
      <c r="B25" s="10" t="s">
        <v>70</v>
      </c>
      <c r="C25" s="6" t="s">
        <v>162</v>
      </c>
      <c r="D25" s="6" t="s">
        <v>163</v>
      </c>
      <c r="E25" s="6" t="s">
        <v>164</v>
      </c>
      <c r="F25" s="11" t="s">
        <v>151</v>
      </c>
      <c r="G25" s="11" t="s">
        <v>75</v>
      </c>
      <c r="H25" s="6" t="s">
        <v>165</v>
      </c>
      <c r="I25" s="12"/>
      <c r="J25" s="12"/>
      <c r="K25" s="12"/>
      <c r="L25" s="12"/>
      <c r="M25" s="11" t="str">
        <f aca="false">IFERROR(MATCH(J25,{"R1","R2","R3","Beyond"},0),"")</f>
        <v/>
      </c>
    </row>
    <row r="26" customFormat="false" ht="15" hidden="false" customHeight="false" outlineLevel="0" collapsed="false">
      <c r="A26" s="9" t="s">
        <v>166</v>
      </c>
      <c r="B26" s="10" t="s">
        <v>70</v>
      </c>
      <c r="C26" s="6" t="s">
        <v>162</v>
      </c>
      <c r="D26" s="6" t="s">
        <v>167</v>
      </c>
      <c r="E26" s="6" t="s">
        <v>168</v>
      </c>
      <c r="F26" s="11" t="s">
        <v>151</v>
      </c>
      <c r="G26" s="11" t="s">
        <v>75</v>
      </c>
      <c r="H26" s="6" t="s">
        <v>169</v>
      </c>
      <c r="I26" s="12"/>
      <c r="J26" s="12"/>
      <c r="K26" s="12"/>
      <c r="L26" s="12"/>
      <c r="M26" s="11" t="str">
        <f aca="false">IFERROR(MATCH(J26,{"R1","R2","R3","Beyond"},0),"")</f>
        <v/>
      </c>
    </row>
    <row r="27" customFormat="false" ht="23.85" hidden="false" customHeight="false" outlineLevel="0" collapsed="false">
      <c r="A27" s="9" t="s">
        <v>170</v>
      </c>
      <c r="B27" s="10" t="s">
        <v>70</v>
      </c>
      <c r="C27" s="6" t="s">
        <v>162</v>
      </c>
      <c r="D27" s="6" t="s">
        <v>171</v>
      </c>
      <c r="E27" s="6" t="s">
        <v>172</v>
      </c>
      <c r="F27" s="11" t="s">
        <v>173</v>
      </c>
      <c r="G27" s="11" t="s">
        <v>75</v>
      </c>
      <c r="H27" s="6" t="s">
        <v>174</v>
      </c>
      <c r="I27" s="12"/>
      <c r="J27" s="12"/>
      <c r="K27" s="12"/>
      <c r="L27" s="12"/>
      <c r="M27" s="11" t="str">
        <f aca="false">IFERROR(MATCH(J27,{"R1","R2","R3","Beyond"},0),"")</f>
        <v/>
      </c>
    </row>
    <row r="28" customFormat="false" ht="23.85" hidden="false" customHeight="false" outlineLevel="0" collapsed="false">
      <c r="A28" s="9" t="s">
        <v>175</v>
      </c>
      <c r="B28" s="10" t="s">
        <v>70</v>
      </c>
      <c r="C28" s="6" t="s">
        <v>78</v>
      </c>
      <c r="D28" s="6" t="s">
        <v>176</v>
      </c>
      <c r="E28" s="6" t="s">
        <v>177</v>
      </c>
      <c r="F28" s="11" t="s">
        <v>173</v>
      </c>
      <c r="G28" s="11" t="s">
        <v>75</v>
      </c>
      <c r="H28" s="6" t="s">
        <v>178</v>
      </c>
      <c r="I28" s="12"/>
      <c r="J28" s="12"/>
      <c r="K28" s="12"/>
      <c r="L28" s="12"/>
      <c r="M28" s="11" t="str">
        <f aca="false">IFERROR(MATCH(J28,{"R1","R2","R3","Beyond"},0),"")</f>
        <v/>
      </c>
    </row>
    <row r="29" customFormat="false" ht="23.85" hidden="false" customHeight="false" outlineLevel="0" collapsed="false">
      <c r="A29" s="13" t="s">
        <v>179</v>
      </c>
      <c r="B29" s="14" t="s">
        <v>180</v>
      </c>
      <c r="C29" s="6" t="s">
        <v>181</v>
      </c>
      <c r="D29" s="6" t="s">
        <v>182</v>
      </c>
      <c r="E29" s="6" t="s">
        <v>183</v>
      </c>
      <c r="F29" s="11" t="s">
        <v>74</v>
      </c>
      <c r="G29" s="11" t="s">
        <v>184</v>
      </c>
      <c r="H29" s="6" t="s">
        <v>185</v>
      </c>
      <c r="I29" s="12"/>
      <c r="J29" s="12"/>
      <c r="K29" s="12"/>
      <c r="L29" s="12"/>
      <c r="M29" s="11" t="str">
        <f aca="false">IFERROR(MATCH(J29,{"R1","R2","R3","Beyond"},0),"")</f>
        <v/>
      </c>
    </row>
    <row r="30" customFormat="false" ht="35.05" hidden="false" customHeight="false" outlineLevel="0" collapsed="false">
      <c r="A30" s="13" t="s">
        <v>186</v>
      </c>
      <c r="B30" s="14" t="s">
        <v>180</v>
      </c>
      <c r="C30" s="6" t="s">
        <v>181</v>
      </c>
      <c r="D30" s="6" t="s">
        <v>187</v>
      </c>
      <c r="E30" s="6" t="s">
        <v>188</v>
      </c>
      <c r="F30" s="11" t="s">
        <v>74</v>
      </c>
      <c r="G30" s="11" t="s">
        <v>184</v>
      </c>
      <c r="H30" s="6" t="s">
        <v>189</v>
      </c>
      <c r="I30" s="12"/>
      <c r="J30" s="12"/>
      <c r="K30" s="12"/>
      <c r="L30" s="12"/>
      <c r="M30" s="11" t="str">
        <f aca="false">IFERROR(MATCH(J30,{"R1","R2","R3","Beyond"},0),"")</f>
        <v/>
      </c>
    </row>
    <row r="31" customFormat="false" ht="35.05" hidden="false" customHeight="false" outlineLevel="0" collapsed="false">
      <c r="A31" s="13" t="s">
        <v>190</v>
      </c>
      <c r="B31" s="14" t="s">
        <v>180</v>
      </c>
      <c r="C31" s="6" t="s">
        <v>191</v>
      </c>
      <c r="D31" s="6" t="s">
        <v>192</v>
      </c>
      <c r="E31" s="6" t="s">
        <v>193</v>
      </c>
      <c r="F31" s="11" t="s">
        <v>74</v>
      </c>
      <c r="G31" s="11" t="s">
        <v>184</v>
      </c>
      <c r="H31" s="6" t="s">
        <v>194</v>
      </c>
      <c r="I31" s="12"/>
      <c r="J31" s="12"/>
      <c r="K31" s="12"/>
      <c r="L31" s="12"/>
      <c r="M31" s="11" t="str">
        <f aca="false">IFERROR(MATCH(J31,{"R1","R2","R3","Beyond"},0),"")</f>
        <v/>
      </c>
    </row>
    <row r="32" customFormat="false" ht="35.05" hidden="false" customHeight="false" outlineLevel="0" collapsed="false">
      <c r="A32" s="13" t="s">
        <v>195</v>
      </c>
      <c r="B32" s="14" t="s">
        <v>180</v>
      </c>
      <c r="C32" s="6" t="s">
        <v>191</v>
      </c>
      <c r="D32" s="6" t="s">
        <v>196</v>
      </c>
      <c r="E32" s="6" t="s">
        <v>197</v>
      </c>
      <c r="F32" s="11" t="s">
        <v>74</v>
      </c>
      <c r="G32" s="11" t="s">
        <v>184</v>
      </c>
      <c r="H32" s="6" t="s">
        <v>198</v>
      </c>
      <c r="I32" s="12"/>
      <c r="J32" s="12"/>
      <c r="K32" s="12"/>
      <c r="L32" s="12"/>
      <c r="M32" s="11" t="str">
        <f aca="false">IFERROR(MATCH(J32,{"R1","R2","R3","Beyond"},0),"")</f>
        <v/>
      </c>
    </row>
    <row r="33" customFormat="false" ht="35.05" hidden="false" customHeight="false" outlineLevel="0" collapsed="false">
      <c r="A33" s="13" t="s">
        <v>199</v>
      </c>
      <c r="B33" s="14" t="s">
        <v>180</v>
      </c>
      <c r="C33" s="6" t="s">
        <v>200</v>
      </c>
      <c r="D33" s="6" t="s">
        <v>201</v>
      </c>
      <c r="E33" s="6" t="s">
        <v>202</v>
      </c>
      <c r="F33" s="11" t="s">
        <v>74</v>
      </c>
      <c r="G33" s="11" t="s">
        <v>184</v>
      </c>
      <c r="H33" s="6" t="s">
        <v>203</v>
      </c>
      <c r="I33" s="12"/>
      <c r="J33" s="12"/>
      <c r="K33" s="12"/>
      <c r="L33" s="12"/>
      <c r="M33" s="11" t="str">
        <f aca="false">IFERROR(MATCH(J33,{"R1","R2","R3","Beyond"},0),"")</f>
        <v/>
      </c>
    </row>
    <row r="34" customFormat="false" ht="23.85" hidden="false" customHeight="false" outlineLevel="0" collapsed="false">
      <c r="A34" s="13" t="s">
        <v>204</v>
      </c>
      <c r="B34" s="14" t="s">
        <v>180</v>
      </c>
      <c r="C34" s="6" t="s">
        <v>205</v>
      </c>
      <c r="D34" s="6" t="s">
        <v>206</v>
      </c>
      <c r="E34" s="6" t="s">
        <v>207</v>
      </c>
      <c r="F34" s="11" t="s">
        <v>74</v>
      </c>
      <c r="G34" s="11" t="s">
        <v>184</v>
      </c>
      <c r="H34" s="6" t="s">
        <v>208</v>
      </c>
      <c r="I34" s="12"/>
      <c r="J34" s="12"/>
      <c r="K34" s="12"/>
      <c r="L34" s="12"/>
      <c r="M34" s="11" t="str">
        <f aca="false">IFERROR(MATCH(J34,{"R1","R2","R3","Beyond"},0),"")</f>
        <v/>
      </c>
    </row>
    <row r="35" customFormat="false" ht="35.05" hidden="false" customHeight="false" outlineLevel="0" collapsed="false">
      <c r="A35" s="13" t="s">
        <v>209</v>
      </c>
      <c r="B35" s="14" t="s">
        <v>180</v>
      </c>
      <c r="C35" s="6" t="s">
        <v>181</v>
      </c>
      <c r="D35" s="6" t="s">
        <v>210</v>
      </c>
      <c r="E35" s="6" t="s">
        <v>211</v>
      </c>
      <c r="F35" s="11" t="s">
        <v>74</v>
      </c>
      <c r="G35" s="11" t="s">
        <v>184</v>
      </c>
      <c r="H35" s="6" t="s">
        <v>212</v>
      </c>
      <c r="I35" s="12"/>
      <c r="J35" s="12"/>
      <c r="K35" s="12"/>
      <c r="L35" s="12"/>
      <c r="M35" s="11" t="str">
        <f aca="false">IFERROR(MATCH(J35,{"R1","R2","R3","Beyond"},0),"")</f>
        <v/>
      </c>
    </row>
    <row r="36" customFormat="false" ht="23.85" hidden="false" customHeight="false" outlineLevel="0" collapsed="false">
      <c r="A36" s="13" t="s">
        <v>213</v>
      </c>
      <c r="B36" s="14" t="s">
        <v>180</v>
      </c>
      <c r="C36" s="6" t="s">
        <v>214</v>
      </c>
      <c r="D36" s="6" t="s">
        <v>215</v>
      </c>
      <c r="E36" s="6" t="s">
        <v>216</v>
      </c>
      <c r="F36" s="11" t="s">
        <v>74</v>
      </c>
      <c r="G36" s="11" t="s">
        <v>184</v>
      </c>
      <c r="H36" s="6" t="s">
        <v>217</v>
      </c>
      <c r="I36" s="12"/>
      <c r="J36" s="12"/>
      <c r="K36" s="12"/>
      <c r="L36" s="12"/>
      <c r="M36" s="11" t="str">
        <f aca="false">IFERROR(MATCH(J36,{"R1","R2","R3","Beyond"},0),"")</f>
        <v/>
      </c>
    </row>
    <row r="37" customFormat="false" ht="23.85" hidden="false" customHeight="false" outlineLevel="0" collapsed="false">
      <c r="A37" s="13" t="s">
        <v>218</v>
      </c>
      <c r="B37" s="14" t="s">
        <v>180</v>
      </c>
      <c r="C37" s="6" t="s">
        <v>219</v>
      </c>
      <c r="D37" s="6" t="s">
        <v>220</v>
      </c>
      <c r="E37" s="6" t="s">
        <v>221</v>
      </c>
      <c r="F37" s="11" t="s">
        <v>74</v>
      </c>
      <c r="G37" s="11" t="s">
        <v>184</v>
      </c>
      <c r="H37" s="6" t="s">
        <v>222</v>
      </c>
      <c r="I37" s="12"/>
      <c r="J37" s="12"/>
      <c r="K37" s="12"/>
      <c r="L37" s="12"/>
      <c r="M37" s="11" t="str">
        <f aca="false">IFERROR(MATCH(J37,{"R1","R2","R3","Beyond"},0),"")</f>
        <v/>
      </c>
    </row>
    <row r="38" customFormat="false" ht="23.85" hidden="false" customHeight="false" outlineLevel="0" collapsed="false">
      <c r="A38" s="13" t="s">
        <v>223</v>
      </c>
      <c r="B38" s="14" t="s">
        <v>180</v>
      </c>
      <c r="C38" s="6" t="s">
        <v>224</v>
      </c>
      <c r="D38" s="6" t="s">
        <v>225</v>
      </c>
      <c r="E38" s="6" t="s">
        <v>226</v>
      </c>
      <c r="F38" s="11" t="s">
        <v>74</v>
      </c>
      <c r="G38" s="11" t="s">
        <v>184</v>
      </c>
      <c r="H38" s="6" t="s">
        <v>227</v>
      </c>
      <c r="I38" s="12"/>
      <c r="J38" s="12"/>
      <c r="K38" s="12"/>
      <c r="L38" s="12"/>
      <c r="M38" s="11" t="str">
        <f aca="false">IFERROR(MATCH(J38,{"R1","R2","R3","Beyond"},0),"")</f>
        <v/>
      </c>
    </row>
    <row r="39" customFormat="false" ht="23.85" hidden="false" customHeight="false" outlineLevel="0" collapsed="false">
      <c r="A39" s="15" t="s">
        <v>228</v>
      </c>
      <c r="B39" s="16" t="s">
        <v>229</v>
      </c>
      <c r="C39" s="6" t="s">
        <v>230</v>
      </c>
      <c r="D39" s="6" t="s">
        <v>231</v>
      </c>
      <c r="E39" s="6" t="s">
        <v>232</v>
      </c>
      <c r="F39" s="11" t="s">
        <v>74</v>
      </c>
      <c r="G39" s="11" t="s">
        <v>233</v>
      </c>
      <c r="H39" s="6" t="s">
        <v>234</v>
      </c>
      <c r="I39" s="12"/>
      <c r="J39" s="12"/>
      <c r="K39" s="12"/>
      <c r="L39" s="12"/>
      <c r="M39" s="11" t="str">
        <f aca="false">IFERROR(MATCH(J39,{"R1","R2","R3","Beyond"},0),"")</f>
        <v/>
      </c>
    </row>
    <row r="40" customFormat="false" ht="35.05" hidden="false" customHeight="false" outlineLevel="0" collapsed="false">
      <c r="A40" s="15" t="s">
        <v>235</v>
      </c>
      <c r="B40" s="16" t="s">
        <v>229</v>
      </c>
      <c r="C40" s="6" t="s">
        <v>236</v>
      </c>
      <c r="D40" s="6" t="s">
        <v>237</v>
      </c>
      <c r="E40" s="6" t="s">
        <v>238</v>
      </c>
      <c r="F40" s="11" t="s">
        <v>74</v>
      </c>
      <c r="G40" s="11" t="s">
        <v>233</v>
      </c>
      <c r="H40" s="6" t="s">
        <v>239</v>
      </c>
      <c r="I40" s="12"/>
      <c r="J40" s="12"/>
      <c r="K40" s="12"/>
      <c r="L40" s="12"/>
      <c r="M40" s="11" t="str">
        <f aca="false">IFERROR(MATCH(J40,{"R1","R2","R3","Beyond"},0),"")</f>
        <v/>
      </c>
    </row>
    <row r="41" customFormat="false" ht="35.05" hidden="false" customHeight="false" outlineLevel="0" collapsed="false">
      <c r="A41" s="15" t="s">
        <v>240</v>
      </c>
      <c r="B41" s="16" t="s">
        <v>229</v>
      </c>
      <c r="C41" s="6" t="s">
        <v>241</v>
      </c>
      <c r="D41" s="6" t="s">
        <v>242</v>
      </c>
      <c r="E41" s="6" t="s">
        <v>243</v>
      </c>
      <c r="F41" s="11" t="s">
        <v>74</v>
      </c>
      <c r="G41" s="11" t="s">
        <v>233</v>
      </c>
      <c r="H41" s="6" t="s">
        <v>244</v>
      </c>
      <c r="I41" s="12"/>
      <c r="J41" s="12"/>
      <c r="K41" s="12"/>
      <c r="L41" s="12"/>
      <c r="M41" s="11" t="str">
        <f aca="false">IFERROR(MATCH(J41,{"R1","R2","R3","Beyond"},0),"")</f>
        <v/>
      </c>
    </row>
    <row r="42" customFormat="false" ht="35.05" hidden="false" customHeight="false" outlineLevel="0" collapsed="false">
      <c r="A42" s="15" t="s">
        <v>245</v>
      </c>
      <c r="B42" s="16" t="s">
        <v>229</v>
      </c>
      <c r="C42" s="6" t="s">
        <v>246</v>
      </c>
      <c r="D42" s="6" t="s">
        <v>247</v>
      </c>
      <c r="E42" s="6" t="s">
        <v>248</v>
      </c>
      <c r="F42" s="11" t="s">
        <v>74</v>
      </c>
      <c r="G42" s="11" t="s">
        <v>233</v>
      </c>
      <c r="H42" s="6" t="s">
        <v>249</v>
      </c>
      <c r="I42" s="12"/>
      <c r="J42" s="12"/>
      <c r="K42" s="12"/>
      <c r="L42" s="12"/>
      <c r="M42" s="11" t="str">
        <f aca="false">IFERROR(MATCH(J42,{"R1","R2","R3","Beyond"},0),"")</f>
        <v/>
      </c>
    </row>
    <row r="43" customFormat="false" ht="35.05" hidden="false" customHeight="false" outlineLevel="0" collapsed="false">
      <c r="A43" s="15" t="s">
        <v>250</v>
      </c>
      <c r="B43" s="16" t="s">
        <v>229</v>
      </c>
      <c r="C43" s="6" t="s">
        <v>251</v>
      </c>
      <c r="D43" s="6" t="s">
        <v>252</v>
      </c>
      <c r="E43" s="6" t="s">
        <v>253</v>
      </c>
      <c r="F43" s="11" t="s">
        <v>74</v>
      </c>
      <c r="G43" s="11" t="s">
        <v>233</v>
      </c>
      <c r="H43" s="6" t="s">
        <v>254</v>
      </c>
      <c r="I43" s="12"/>
      <c r="J43" s="12"/>
      <c r="K43" s="12"/>
      <c r="L43" s="12"/>
      <c r="M43" s="11" t="str">
        <f aca="false">IFERROR(MATCH(J43,{"R1","R2","R3","Beyond"},0),"")</f>
        <v/>
      </c>
    </row>
    <row r="44" customFormat="false" ht="35.05" hidden="false" customHeight="false" outlineLevel="0" collapsed="false">
      <c r="A44" s="15" t="s">
        <v>255</v>
      </c>
      <c r="B44" s="16" t="s">
        <v>229</v>
      </c>
      <c r="C44" s="6" t="s">
        <v>256</v>
      </c>
      <c r="D44" s="6" t="s">
        <v>257</v>
      </c>
      <c r="E44" s="6" t="s">
        <v>258</v>
      </c>
      <c r="F44" s="11" t="s">
        <v>74</v>
      </c>
      <c r="G44" s="11" t="s">
        <v>233</v>
      </c>
      <c r="H44" s="6" t="s">
        <v>249</v>
      </c>
      <c r="I44" s="12"/>
      <c r="J44" s="12"/>
      <c r="K44" s="12"/>
      <c r="L44" s="12"/>
      <c r="M44" s="11" t="str">
        <f aca="false">IFERROR(MATCH(J44,{"R1","R2","R3","Beyond"},0),"")</f>
        <v/>
      </c>
    </row>
    <row r="45" customFormat="false" ht="23.85" hidden="false" customHeight="false" outlineLevel="0" collapsed="false">
      <c r="A45" s="15" t="s">
        <v>259</v>
      </c>
      <c r="B45" s="16" t="s">
        <v>229</v>
      </c>
      <c r="C45" s="6" t="s">
        <v>260</v>
      </c>
      <c r="D45" s="6" t="s">
        <v>261</v>
      </c>
      <c r="E45" s="6" t="s">
        <v>262</v>
      </c>
      <c r="F45" s="11" t="s">
        <v>74</v>
      </c>
      <c r="G45" s="11" t="s">
        <v>233</v>
      </c>
      <c r="H45" s="6" t="s">
        <v>263</v>
      </c>
      <c r="I45" s="12"/>
      <c r="J45" s="12"/>
      <c r="K45" s="12"/>
      <c r="L45" s="12"/>
      <c r="M45" s="11" t="str">
        <f aca="false">IFERROR(MATCH(J45,{"R1","R2","R3","Beyond"},0),"")</f>
        <v/>
      </c>
    </row>
    <row r="46" customFormat="false" ht="23.85" hidden="false" customHeight="false" outlineLevel="0" collapsed="false">
      <c r="A46" s="15" t="s">
        <v>264</v>
      </c>
      <c r="B46" s="16" t="s">
        <v>229</v>
      </c>
      <c r="C46" s="6" t="s">
        <v>265</v>
      </c>
      <c r="D46" s="6" t="s">
        <v>266</v>
      </c>
      <c r="E46" s="6" t="s">
        <v>267</v>
      </c>
      <c r="F46" s="11" t="s">
        <v>74</v>
      </c>
      <c r="G46" s="11" t="s">
        <v>233</v>
      </c>
      <c r="H46" s="6" t="s">
        <v>268</v>
      </c>
      <c r="I46" s="12"/>
      <c r="J46" s="12"/>
      <c r="K46" s="12"/>
      <c r="L46" s="12"/>
      <c r="M46" s="11" t="str">
        <f aca="false">IFERROR(MATCH(J46,{"R1","R2","R3","Beyond"},0),"")</f>
        <v/>
      </c>
    </row>
    <row r="47" customFormat="false" ht="23.85" hidden="false" customHeight="false" outlineLevel="0" collapsed="false">
      <c r="A47" s="15" t="s">
        <v>269</v>
      </c>
      <c r="B47" s="16" t="s">
        <v>229</v>
      </c>
      <c r="C47" s="6" t="s">
        <v>270</v>
      </c>
      <c r="D47" s="6" t="s">
        <v>271</v>
      </c>
      <c r="E47" s="6" t="s">
        <v>272</v>
      </c>
      <c r="F47" s="11" t="s">
        <v>74</v>
      </c>
      <c r="G47" s="11" t="s">
        <v>233</v>
      </c>
      <c r="H47" s="6" t="s">
        <v>273</v>
      </c>
      <c r="I47" s="12"/>
      <c r="J47" s="12"/>
      <c r="K47" s="12"/>
      <c r="L47" s="12"/>
      <c r="M47" s="11" t="str">
        <f aca="false">IFERROR(MATCH(J47,{"R1","R2","R3","Beyond"},0),"")</f>
        <v/>
      </c>
    </row>
    <row r="48" customFormat="false" ht="23.85" hidden="false" customHeight="false" outlineLevel="0" collapsed="false">
      <c r="A48" s="15" t="s">
        <v>274</v>
      </c>
      <c r="B48" s="16" t="s">
        <v>229</v>
      </c>
      <c r="C48" s="6" t="s">
        <v>275</v>
      </c>
      <c r="D48" s="6" t="s">
        <v>276</v>
      </c>
      <c r="E48" s="6" t="s">
        <v>277</v>
      </c>
      <c r="F48" s="11" t="s">
        <v>74</v>
      </c>
      <c r="G48" s="11" t="s">
        <v>233</v>
      </c>
      <c r="H48" s="6" t="s">
        <v>278</v>
      </c>
      <c r="I48" s="12"/>
      <c r="J48" s="12"/>
      <c r="K48" s="12"/>
      <c r="L48" s="12"/>
      <c r="M48" s="11" t="str">
        <f aca="false">IFERROR(MATCH(J48,{"R1","R2","R3","Beyond"},0),"")</f>
        <v/>
      </c>
    </row>
    <row r="49" customFormat="false" ht="23.85" hidden="false" customHeight="false" outlineLevel="0" collapsed="false">
      <c r="A49" s="15" t="s">
        <v>279</v>
      </c>
      <c r="B49" s="16" t="s">
        <v>229</v>
      </c>
      <c r="C49" s="6" t="s">
        <v>280</v>
      </c>
      <c r="D49" s="6" t="s">
        <v>281</v>
      </c>
      <c r="E49" s="6" t="s">
        <v>282</v>
      </c>
      <c r="F49" s="11" t="s">
        <v>74</v>
      </c>
      <c r="G49" s="11" t="s">
        <v>233</v>
      </c>
      <c r="H49" s="6" t="s">
        <v>283</v>
      </c>
      <c r="I49" s="12"/>
      <c r="J49" s="12"/>
      <c r="K49" s="12"/>
      <c r="L49" s="12"/>
      <c r="M49" s="11" t="str">
        <f aca="false">IFERROR(MATCH(J49,{"R1","R2","R3","Beyond"},0),"")</f>
        <v/>
      </c>
    </row>
    <row r="50" customFormat="false" ht="35.05" hidden="false" customHeight="false" outlineLevel="0" collapsed="false">
      <c r="A50" s="17" t="s">
        <v>284</v>
      </c>
      <c r="B50" s="18" t="s">
        <v>285</v>
      </c>
      <c r="C50" s="6" t="s">
        <v>286</v>
      </c>
      <c r="D50" s="6" t="s">
        <v>287</v>
      </c>
      <c r="E50" s="6" t="s">
        <v>288</v>
      </c>
      <c r="F50" s="11" t="s">
        <v>74</v>
      </c>
      <c r="G50" s="11" t="s">
        <v>289</v>
      </c>
      <c r="H50" s="6" t="s">
        <v>290</v>
      </c>
      <c r="I50" s="12"/>
      <c r="J50" s="12"/>
      <c r="K50" s="12"/>
      <c r="L50" s="12"/>
      <c r="M50" s="11" t="str">
        <f aca="false">IFERROR(MATCH(J50,{"R1","R2","R3","Beyond"},0),"")</f>
        <v/>
      </c>
    </row>
    <row r="51" customFormat="false" ht="35.05" hidden="false" customHeight="false" outlineLevel="0" collapsed="false">
      <c r="A51" s="17" t="s">
        <v>291</v>
      </c>
      <c r="B51" s="18" t="s">
        <v>285</v>
      </c>
      <c r="C51" s="6" t="s">
        <v>292</v>
      </c>
      <c r="D51" s="6" t="s">
        <v>293</v>
      </c>
      <c r="E51" s="6" t="s">
        <v>294</v>
      </c>
      <c r="F51" s="11" t="s">
        <v>74</v>
      </c>
      <c r="G51" s="11" t="s">
        <v>289</v>
      </c>
      <c r="H51" s="6" t="s">
        <v>295</v>
      </c>
      <c r="I51" s="12"/>
      <c r="J51" s="12"/>
      <c r="K51" s="12"/>
      <c r="L51" s="12"/>
      <c r="M51" s="11" t="str">
        <f aca="false">IFERROR(MATCH(J51,{"R1","R2","R3","Beyond"},0),"")</f>
        <v/>
      </c>
    </row>
    <row r="52" customFormat="false" ht="23.85" hidden="false" customHeight="false" outlineLevel="0" collapsed="false">
      <c r="A52" s="17" t="s">
        <v>296</v>
      </c>
      <c r="B52" s="18" t="s">
        <v>285</v>
      </c>
      <c r="C52" s="6" t="s">
        <v>297</v>
      </c>
      <c r="D52" s="6" t="s">
        <v>298</v>
      </c>
      <c r="E52" s="6" t="s">
        <v>299</v>
      </c>
      <c r="F52" s="11" t="s">
        <v>74</v>
      </c>
      <c r="G52" s="11" t="s">
        <v>289</v>
      </c>
      <c r="H52" s="6" t="s">
        <v>300</v>
      </c>
      <c r="I52" s="12"/>
      <c r="J52" s="12"/>
      <c r="K52" s="12"/>
      <c r="L52" s="12"/>
      <c r="M52" s="11" t="str">
        <f aca="false">IFERROR(MATCH(J52,{"R1","R2","R3","Beyond"},0),"")</f>
        <v/>
      </c>
    </row>
    <row r="53" customFormat="false" ht="23.85" hidden="false" customHeight="false" outlineLevel="0" collapsed="false">
      <c r="A53" s="17" t="s">
        <v>301</v>
      </c>
      <c r="B53" s="18" t="s">
        <v>285</v>
      </c>
      <c r="C53" s="6" t="s">
        <v>302</v>
      </c>
      <c r="D53" s="6" t="s">
        <v>303</v>
      </c>
      <c r="E53" s="6" t="s">
        <v>304</v>
      </c>
      <c r="F53" s="11" t="s">
        <v>74</v>
      </c>
      <c r="G53" s="11" t="s">
        <v>289</v>
      </c>
      <c r="H53" s="6" t="s">
        <v>305</v>
      </c>
      <c r="I53" s="12"/>
      <c r="J53" s="12"/>
      <c r="K53" s="12"/>
      <c r="L53" s="12"/>
      <c r="M53" s="11" t="str">
        <f aca="false">IFERROR(MATCH(J53,{"R1","R2","R3","Beyond"},0),"")</f>
        <v/>
      </c>
    </row>
    <row r="54" customFormat="false" ht="35.05" hidden="false" customHeight="false" outlineLevel="0" collapsed="false">
      <c r="A54" s="17" t="s">
        <v>306</v>
      </c>
      <c r="B54" s="18" t="s">
        <v>285</v>
      </c>
      <c r="C54" s="6" t="s">
        <v>307</v>
      </c>
      <c r="D54" s="6" t="s">
        <v>308</v>
      </c>
      <c r="E54" s="6" t="s">
        <v>309</v>
      </c>
      <c r="F54" s="11" t="s">
        <v>74</v>
      </c>
      <c r="G54" s="11" t="s">
        <v>289</v>
      </c>
      <c r="H54" s="6" t="s">
        <v>310</v>
      </c>
      <c r="I54" s="12"/>
      <c r="J54" s="12"/>
      <c r="K54" s="12"/>
      <c r="L54" s="12"/>
      <c r="M54" s="11" t="str">
        <f aca="false">IFERROR(MATCH(J54,{"R1","R2","R3","Beyond"},0),"")</f>
        <v/>
      </c>
    </row>
    <row r="55" customFormat="false" ht="15" hidden="false" customHeight="false" outlineLevel="0" collapsed="false">
      <c r="A55" s="17" t="s">
        <v>311</v>
      </c>
      <c r="B55" s="18" t="s">
        <v>285</v>
      </c>
      <c r="C55" s="6" t="s">
        <v>312</v>
      </c>
      <c r="D55" s="6" t="s">
        <v>313</v>
      </c>
      <c r="E55" s="6" t="s">
        <v>314</v>
      </c>
      <c r="F55" s="11" t="s">
        <v>74</v>
      </c>
      <c r="G55" s="11" t="s">
        <v>289</v>
      </c>
      <c r="H55" s="6" t="s">
        <v>147</v>
      </c>
      <c r="I55" s="12"/>
      <c r="J55" s="12"/>
      <c r="K55" s="12"/>
      <c r="L55" s="12"/>
      <c r="M55" s="11" t="str">
        <f aca="false">IFERROR(MATCH(J55,{"R1","R2","R3","Beyond"},0),"")</f>
        <v/>
      </c>
    </row>
    <row r="56" customFormat="false" ht="23.85" hidden="false" customHeight="false" outlineLevel="0" collapsed="false">
      <c r="A56" s="17" t="s">
        <v>315</v>
      </c>
      <c r="B56" s="18" t="s">
        <v>285</v>
      </c>
      <c r="C56" s="6" t="s">
        <v>181</v>
      </c>
      <c r="D56" s="6" t="s">
        <v>316</v>
      </c>
      <c r="E56" s="6" t="s">
        <v>317</v>
      </c>
      <c r="F56" s="11" t="s">
        <v>74</v>
      </c>
      <c r="G56" s="11" t="s">
        <v>289</v>
      </c>
      <c r="H56" s="6" t="s">
        <v>318</v>
      </c>
      <c r="I56" s="12"/>
      <c r="J56" s="12"/>
      <c r="K56" s="12"/>
      <c r="L56" s="12"/>
      <c r="M56" s="11" t="str">
        <f aca="false">IFERROR(MATCH(J56,{"R1","R2","R3","Beyond"},0),"")</f>
        <v/>
      </c>
    </row>
    <row r="57" customFormat="false" ht="23.85" hidden="false" customHeight="false" outlineLevel="0" collapsed="false">
      <c r="A57" s="19" t="s">
        <v>319</v>
      </c>
      <c r="B57" s="20" t="s">
        <v>320</v>
      </c>
      <c r="C57" s="6" t="s">
        <v>180</v>
      </c>
      <c r="D57" s="6" t="s">
        <v>321</v>
      </c>
      <c r="E57" s="6" t="s">
        <v>322</v>
      </c>
      <c r="F57" s="11" t="s">
        <v>323</v>
      </c>
      <c r="G57" s="11" t="s">
        <v>324</v>
      </c>
      <c r="H57" s="6" t="s">
        <v>325</v>
      </c>
      <c r="I57" s="12"/>
      <c r="J57" s="12"/>
      <c r="K57" s="12"/>
      <c r="L57" s="12"/>
      <c r="M57" s="11" t="str">
        <f aca="false">IFERROR(MATCH(J57,{"R1","R2","R3","Beyond"},0),"")</f>
        <v/>
      </c>
    </row>
    <row r="58" customFormat="false" ht="23.85" hidden="false" customHeight="false" outlineLevel="0" collapsed="false">
      <c r="A58" s="19" t="s">
        <v>326</v>
      </c>
      <c r="B58" s="20" t="s">
        <v>320</v>
      </c>
      <c r="C58" s="6" t="s">
        <v>180</v>
      </c>
      <c r="D58" s="6" t="s">
        <v>327</v>
      </c>
      <c r="E58" s="6" t="s">
        <v>328</v>
      </c>
      <c r="F58" s="11" t="s">
        <v>323</v>
      </c>
      <c r="G58" s="11" t="s">
        <v>324</v>
      </c>
      <c r="H58" s="6" t="s">
        <v>329</v>
      </c>
      <c r="I58" s="12"/>
      <c r="J58" s="12"/>
      <c r="K58" s="12"/>
      <c r="L58" s="12"/>
      <c r="M58" s="11" t="str">
        <f aca="false">IFERROR(MATCH(J58,{"R1","R2","R3","Beyond"},0),"")</f>
        <v/>
      </c>
    </row>
    <row r="59" customFormat="false" ht="23.85" hidden="false" customHeight="false" outlineLevel="0" collapsed="false">
      <c r="A59" s="19" t="s">
        <v>330</v>
      </c>
      <c r="B59" s="20" t="s">
        <v>320</v>
      </c>
      <c r="C59" s="6" t="s">
        <v>331</v>
      </c>
      <c r="D59" s="6" t="s">
        <v>332</v>
      </c>
      <c r="E59" s="6" t="s">
        <v>333</v>
      </c>
      <c r="F59" s="11" t="s">
        <v>323</v>
      </c>
      <c r="G59" s="11" t="s">
        <v>324</v>
      </c>
      <c r="H59" s="6" t="s">
        <v>334</v>
      </c>
      <c r="I59" s="12"/>
      <c r="J59" s="12"/>
      <c r="K59" s="12"/>
      <c r="L59" s="12"/>
      <c r="M59" s="11" t="str">
        <f aca="false">IFERROR(MATCH(J59,{"R1","R2","R3","Beyond"},0),"")</f>
        <v/>
      </c>
    </row>
    <row r="60" customFormat="false" ht="23.85" hidden="false" customHeight="false" outlineLevel="0" collapsed="false">
      <c r="A60" s="19" t="s">
        <v>335</v>
      </c>
      <c r="B60" s="20" t="s">
        <v>320</v>
      </c>
      <c r="C60" s="6" t="s">
        <v>180</v>
      </c>
      <c r="D60" s="6" t="s">
        <v>336</v>
      </c>
      <c r="E60" s="6" t="s">
        <v>337</v>
      </c>
      <c r="F60" s="11" t="s">
        <v>323</v>
      </c>
      <c r="G60" s="11" t="s">
        <v>324</v>
      </c>
      <c r="H60" s="6" t="s">
        <v>338</v>
      </c>
      <c r="I60" s="12"/>
      <c r="J60" s="12"/>
      <c r="K60" s="12"/>
      <c r="L60" s="12"/>
      <c r="M60" s="11" t="str">
        <f aca="false">IFERROR(MATCH(J60,{"R1","R2","R3","Beyond"},0),"")</f>
        <v/>
      </c>
    </row>
    <row r="61" customFormat="false" ht="23.85" hidden="false" customHeight="false" outlineLevel="0" collapsed="false">
      <c r="A61" s="19" t="s">
        <v>339</v>
      </c>
      <c r="B61" s="20" t="s">
        <v>320</v>
      </c>
      <c r="C61" s="6" t="s">
        <v>285</v>
      </c>
      <c r="D61" s="6" t="s">
        <v>340</v>
      </c>
      <c r="E61" s="6" t="s">
        <v>341</v>
      </c>
      <c r="F61" s="11" t="s">
        <v>323</v>
      </c>
      <c r="G61" s="11" t="s">
        <v>324</v>
      </c>
      <c r="H61" s="6" t="s">
        <v>342</v>
      </c>
      <c r="I61" s="12"/>
      <c r="J61" s="12"/>
      <c r="K61" s="12"/>
      <c r="L61" s="12"/>
      <c r="M61" s="11" t="str">
        <f aca="false">IFERROR(MATCH(J61,{"R1","R2","R3","Beyond"},0),"")</f>
        <v/>
      </c>
    </row>
    <row r="62" customFormat="false" ht="23.85" hidden="false" customHeight="false" outlineLevel="0" collapsed="false">
      <c r="A62" s="19" t="s">
        <v>343</v>
      </c>
      <c r="B62" s="20" t="s">
        <v>320</v>
      </c>
      <c r="C62" s="6" t="s">
        <v>285</v>
      </c>
      <c r="D62" s="6" t="s">
        <v>344</v>
      </c>
      <c r="E62" s="6" t="s">
        <v>345</v>
      </c>
      <c r="F62" s="11" t="s">
        <v>323</v>
      </c>
      <c r="G62" s="11" t="s">
        <v>324</v>
      </c>
      <c r="H62" s="6" t="s">
        <v>346</v>
      </c>
      <c r="I62" s="12"/>
      <c r="J62" s="12"/>
      <c r="K62" s="12"/>
      <c r="L62" s="12"/>
      <c r="M62" s="11" t="str">
        <f aca="false">IFERROR(MATCH(J62,{"R1","R2","R3","Beyond"},0),"")</f>
        <v/>
      </c>
    </row>
    <row r="63" customFormat="false" ht="23.85" hidden="false" customHeight="false" outlineLevel="0" collapsed="false">
      <c r="A63" s="19" t="s">
        <v>347</v>
      </c>
      <c r="B63" s="20" t="s">
        <v>320</v>
      </c>
      <c r="C63" s="6" t="s">
        <v>180</v>
      </c>
      <c r="D63" s="6" t="s">
        <v>348</v>
      </c>
      <c r="E63" s="6" t="s">
        <v>349</v>
      </c>
      <c r="F63" s="11" t="s">
        <v>323</v>
      </c>
      <c r="G63" s="11" t="s">
        <v>324</v>
      </c>
      <c r="H63" s="6" t="s">
        <v>203</v>
      </c>
      <c r="I63" s="12"/>
      <c r="J63" s="12"/>
      <c r="K63" s="12"/>
      <c r="L63" s="12"/>
      <c r="M63" s="11" t="str">
        <f aca="false">IFERROR(MATCH(J63,{"R1","R2","R3","Beyond"},0),"")</f>
        <v/>
      </c>
    </row>
    <row r="64" customFormat="false" ht="23.85" hidden="false" customHeight="false" outlineLevel="0" collapsed="false">
      <c r="A64" s="19" t="s">
        <v>350</v>
      </c>
      <c r="B64" s="20" t="s">
        <v>320</v>
      </c>
      <c r="C64" s="6" t="s">
        <v>180</v>
      </c>
      <c r="D64" s="6" t="s">
        <v>351</v>
      </c>
      <c r="E64" s="6" t="s">
        <v>352</v>
      </c>
      <c r="F64" s="11" t="s">
        <v>323</v>
      </c>
      <c r="G64" s="11" t="s">
        <v>324</v>
      </c>
      <c r="H64" s="6" t="s">
        <v>353</v>
      </c>
      <c r="I64" s="12"/>
      <c r="J64" s="12"/>
      <c r="K64" s="12"/>
      <c r="L64" s="12"/>
      <c r="M64" s="11" t="str">
        <f aca="false">IFERROR(MATCH(J64,{"R1","R2","R3","Beyond"},0),"")</f>
        <v/>
      </c>
    </row>
    <row r="65" customFormat="false" ht="23.85" hidden="false" customHeight="false" outlineLevel="0" collapsed="false">
      <c r="A65" s="19" t="s">
        <v>354</v>
      </c>
      <c r="B65" s="20" t="s">
        <v>320</v>
      </c>
      <c r="C65" s="6" t="s">
        <v>256</v>
      </c>
      <c r="D65" s="6" t="s">
        <v>355</v>
      </c>
      <c r="E65" s="6" t="s">
        <v>356</v>
      </c>
      <c r="F65" s="11" t="s">
        <v>323</v>
      </c>
      <c r="G65" s="11" t="s">
        <v>324</v>
      </c>
      <c r="H65" s="6" t="s">
        <v>357</v>
      </c>
      <c r="I65" s="12"/>
      <c r="J65" s="12"/>
      <c r="K65" s="12"/>
      <c r="L65" s="12"/>
      <c r="M65" s="11" t="str">
        <f aca="false">IFERROR(MATCH(J65,{"R1","R2","R3","Beyond"},0),"")</f>
        <v/>
      </c>
    </row>
    <row r="66" customFormat="false" ht="23.85" hidden="false" customHeight="false" outlineLevel="0" collapsed="false">
      <c r="A66" s="19" t="s">
        <v>358</v>
      </c>
      <c r="B66" s="20" t="s">
        <v>320</v>
      </c>
      <c r="C66" s="6" t="s">
        <v>162</v>
      </c>
      <c r="D66" s="6" t="s">
        <v>359</v>
      </c>
      <c r="E66" s="6" t="s">
        <v>360</v>
      </c>
      <c r="F66" s="11" t="s">
        <v>323</v>
      </c>
      <c r="G66" s="11" t="s">
        <v>324</v>
      </c>
      <c r="H66" s="6" t="s">
        <v>165</v>
      </c>
      <c r="I66" s="12"/>
      <c r="J66" s="12"/>
      <c r="K66" s="12"/>
      <c r="L66" s="12"/>
      <c r="M66" s="11" t="str">
        <f aca="false">IFERROR(MATCH(J66,{"R1","R2","R3","Beyond"},0),"")</f>
        <v/>
      </c>
    </row>
    <row r="67" customFormat="false" ht="23.85" hidden="false" customHeight="false" outlineLevel="0" collapsed="false">
      <c r="A67" s="19" t="s">
        <v>361</v>
      </c>
      <c r="B67" s="20" t="s">
        <v>320</v>
      </c>
      <c r="C67" s="6" t="s">
        <v>118</v>
      </c>
      <c r="D67" s="6" t="s">
        <v>362</v>
      </c>
      <c r="E67" s="6" t="s">
        <v>363</v>
      </c>
      <c r="F67" s="11" t="s">
        <v>323</v>
      </c>
      <c r="G67" s="11" t="s">
        <v>324</v>
      </c>
      <c r="H67" s="6" t="s">
        <v>364</v>
      </c>
      <c r="I67" s="12"/>
      <c r="J67" s="12"/>
      <c r="K67" s="12"/>
      <c r="L67" s="12"/>
      <c r="M67" s="11" t="str">
        <f aca="false">IFERROR(MATCH(J67,{"R1","R2","R3","Beyond"},0),"")</f>
        <v/>
      </c>
    </row>
    <row r="68" customFormat="false" ht="23.85" hidden="false" customHeight="false" outlineLevel="0" collapsed="false">
      <c r="A68" s="19" t="s">
        <v>365</v>
      </c>
      <c r="B68" s="20" t="s">
        <v>320</v>
      </c>
      <c r="C68" s="6" t="s">
        <v>366</v>
      </c>
      <c r="D68" s="6" t="s">
        <v>367</v>
      </c>
      <c r="E68" s="6" t="s">
        <v>368</v>
      </c>
      <c r="F68" s="11" t="s">
        <v>323</v>
      </c>
      <c r="G68" s="11" t="s">
        <v>324</v>
      </c>
      <c r="H68" s="6" t="s">
        <v>369</v>
      </c>
      <c r="I68" s="12"/>
      <c r="J68" s="12"/>
      <c r="K68" s="12"/>
      <c r="L68" s="12"/>
      <c r="M68" s="11" t="str">
        <f aca="false">IFERROR(MATCH(J68,{"R1","R2","R3","Beyond"},0),"")</f>
        <v/>
      </c>
    </row>
    <row r="69" customFormat="false" ht="23.85" hidden="false" customHeight="false" outlineLevel="0" collapsed="false">
      <c r="A69" s="19" t="s">
        <v>370</v>
      </c>
      <c r="B69" s="20" t="s">
        <v>320</v>
      </c>
      <c r="C69" s="6" t="s">
        <v>331</v>
      </c>
      <c r="D69" s="6" t="s">
        <v>371</v>
      </c>
      <c r="E69" s="6" t="s">
        <v>372</v>
      </c>
      <c r="F69" s="11" t="s">
        <v>323</v>
      </c>
      <c r="G69" s="11" t="s">
        <v>324</v>
      </c>
      <c r="H69" s="6" t="s">
        <v>373</v>
      </c>
      <c r="I69" s="12"/>
      <c r="J69" s="12"/>
      <c r="K69" s="12"/>
      <c r="L69" s="12"/>
      <c r="M69" s="11" t="str">
        <f aca="false">IFERROR(MATCH(J69,{"R1","R2","R3","Beyond"},0),"")</f>
        <v/>
      </c>
    </row>
    <row r="70" customFormat="false" ht="23.85" hidden="false" customHeight="false" outlineLevel="0" collapsed="false">
      <c r="A70" s="19" t="s">
        <v>374</v>
      </c>
      <c r="B70" s="20" t="s">
        <v>320</v>
      </c>
      <c r="C70" s="6" t="s">
        <v>214</v>
      </c>
      <c r="D70" s="6" t="s">
        <v>375</v>
      </c>
      <c r="E70" s="6" t="s">
        <v>376</v>
      </c>
      <c r="F70" s="11" t="s">
        <v>323</v>
      </c>
      <c r="G70" s="11" t="s">
        <v>324</v>
      </c>
      <c r="H70" s="6" t="s">
        <v>377</v>
      </c>
      <c r="I70" s="12"/>
      <c r="J70" s="12"/>
      <c r="K70" s="12"/>
      <c r="L70" s="12"/>
      <c r="M70" s="11" t="str">
        <f aca="false">IFERROR(MATCH(J70,{"R1","R2","R3","Beyond"},0),"")</f>
        <v/>
      </c>
    </row>
  </sheetData>
  <autoFilter ref="A4:M70"/>
  <conditionalFormatting sqref="I5:I70">
    <cfRule type="cellIs" priority="2" operator="equal" aboveAverage="0" equalAverage="0" bottom="0" percent="0" rank="0" text="" dxfId="9">
      <formula>"Must"</formula>
    </cfRule>
    <cfRule type="cellIs" priority="3" operator="equal" aboveAverage="0" equalAverage="0" bottom="0" percent="0" rank="0" text="" dxfId="10">
      <formula>"Should"</formula>
    </cfRule>
    <cfRule type="cellIs" priority="4" operator="equal" aboveAverage="0" equalAverage="0" bottom="0" percent="0" rank="0" text="" dxfId="11">
      <formula>"Could"</formula>
    </cfRule>
    <cfRule type="cellIs" priority="5" operator="equal" aboveAverage="0" equalAverage="0" bottom="0" percent="0" rank="0" text="" dxfId="12">
      <formula>"Won't"</formula>
    </cfRule>
  </conditionalFormatting>
  <dataValidations count="2">
    <dataValidation allowBlank="true" errorStyle="stop" operator="between" showDropDown="false" showErrorMessage="false" showInputMessage="false" sqref="I5:I70" type="list">
      <formula1>"Must,Should,Could,Won't"</formula1>
      <formula2>0</formula2>
    </dataValidation>
    <dataValidation allowBlank="true" errorStyle="stop" operator="between" showDropDown="false" showErrorMessage="false" showInputMessage="false" sqref="J5:J70" type="list">
      <formula1>"R1,R2,R3,Beyond"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50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35.05" hidden="false" customHeight="false" outlineLevel="0" collapsed="false">
      <c r="A4" s="8" t="s">
        <v>57</v>
      </c>
      <c r="B4" s="8" t="s">
        <v>380</v>
      </c>
      <c r="C4" s="8" t="s">
        <v>381</v>
      </c>
      <c r="D4" s="8" t="s">
        <v>58</v>
      </c>
      <c r="E4" s="8" t="s">
        <v>382</v>
      </c>
      <c r="F4" s="8" t="s">
        <v>383</v>
      </c>
      <c r="G4" s="8" t="s">
        <v>384</v>
      </c>
      <c r="H4" s="8" t="s">
        <v>385</v>
      </c>
      <c r="I4" s="8" t="s">
        <v>67</v>
      </c>
    </row>
    <row r="5" customFormat="false" ht="23.85" hidden="false" customHeight="false" outlineLevel="0" collapsed="false">
      <c r="A5" s="9" t="s">
        <v>386</v>
      </c>
      <c r="B5" s="10" t="s">
        <v>387</v>
      </c>
      <c r="C5" s="6" t="s">
        <v>388</v>
      </c>
      <c r="D5" s="11" t="s">
        <v>389</v>
      </c>
      <c r="E5" s="6" t="s">
        <v>390</v>
      </c>
      <c r="F5" s="6" t="s">
        <v>391</v>
      </c>
      <c r="G5" s="11" t="n">
        <f aca="false">COUNTIF('M1 Requirements'!$H$5:$H$70,"*"&amp;A5&amp;"*")</f>
        <v>2</v>
      </c>
      <c r="H5" s="11" t="str">
        <f aca="false">IF(_xlfn.MINIFS('M1 Requirements'!$M$5:$M$70,'M1 Requirements'!$H$5:$H$70,"*"&amp;A5&amp;"*")=0,"not selected",INDEX({"R1","R2","R3","Beyond"},_xlfn.MINIFS('M1 Requirements'!$M$5:$M$70,'M1 Requirements'!$H$5:$H$70,"*"&amp;A5&amp;"*")))</f>
        <v>not selected</v>
      </c>
      <c r="I5" s="12"/>
    </row>
    <row r="6" customFormat="false" ht="23.85" hidden="false" customHeight="false" outlineLevel="0" collapsed="false">
      <c r="A6" s="9" t="s">
        <v>392</v>
      </c>
      <c r="B6" s="10" t="s">
        <v>387</v>
      </c>
      <c r="C6" s="6" t="s">
        <v>393</v>
      </c>
      <c r="D6" s="11" t="s">
        <v>389</v>
      </c>
      <c r="E6" s="6" t="s">
        <v>394</v>
      </c>
      <c r="F6" s="6" t="s">
        <v>395</v>
      </c>
      <c r="G6" s="11" t="n">
        <f aca="false">COUNTIF('M1 Requirements'!$H$5:$H$70,"*"&amp;A6&amp;"*")</f>
        <v>5</v>
      </c>
      <c r="H6" s="11" t="str">
        <f aca="false">IF(_xlfn.MINIFS('M1 Requirements'!$M$5:$M$70,'M1 Requirements'!$H$5:$H$70,"*"&amp;A6&amp;"*")=0,"not selected",INDEX({"R1","R2","R3","Beyond"},_xlfn.MINIFS('M1 Requirements'!$M$5:$M$70,'M1 Requirements'!$H$5:$H$70,"*"&amp;A6&amp;"*")))</f>
        <v>not selected</v>
      </c>
      <c r="I6" s="12"/>
    </row>
    <row r="7" customFormat="false" ht="15" hidden="false" customHeight="false" outlineLevel="0" collapsed="false">
      <c r="A7" s="9" t="s">
        <v>396</v>
      </c>
      <c r="B7" s="10" t="s">
        <v>387</v>
      </c>
      <c r="C7" s="6" t="s">
        <v>397</v>
      </c>
      <c r="D7" s="11" t="s">
        <v>389</v>
      </c>
      <c r="E7" s="6" t="s">
        <v>398</v>
      </c>
      <c r="F7" s="6" t="s">
        <v>399</v>
      </c>
      <c r="G7" s="11" t="n">
        <f aca="false">COUNTIF('M1 Requirements'!$H$5:$H$70,"*"&amp;A7&amp;"*")</f>
        <v>1</v>
      </c>
      <c r="H7" s="11" t="str">
        <f aca="false">IF(_xlfn.MINIFS('M1 Requirements'!$M$5:$M$70,'M1 Requirements'!$H$5:$H$70,"*"&amp;A7&amp;"*")=0,"not selected",INDEX({"R1","R2","R3","Beyond"},_xlfn.MINIFS('M1 Requirements'!$M$5:$M$70,'M1 Requirements'!$H$5:$H$70,"*"&amp;A7&amp;"*")))</f>
        <v>not selected</v>
      </c>
      <c r="I7" s="12"/>
    </row>
    <row r="8" customFormat="false" ht="23.85" hidden="false" customHeight="false" outlineLevel="0" collapsed="false">
      <c r="A8" s="9" t="s">
        <v>400</v>
      </c>
      <c r="B8" s="10" t="s">
        <v>387</v>
      </c>
      <c r="C8" s="6" t="s">
        <v>401</v>
      </c>
      <c r="D8" s="11" t="s">
        <v>389</v>
      </c>
      <c r="E8" s="6" t="s">
        <v>402</v>
      </c>
      <c r="F8" s="6" t="s">
        <v>403</v>
      </c>
      <c r="G8" s="11" t="n">
        <f aca="false">COUNTIF('M1 Requirements'!$H$5:$H$70,"*"&amp;A8&amp;"*")</f>
        <v>10</v>
      </c>
      <c r="H8" s="11" t="str">
        <f aca="false">IF(_xlfn.MINIFS('M1 Requirements'!$M$5:$M$70,'M1 Requirements'!$H$5:$H$70,"*"&amp;A8&amp;"*")=0,"not selected",INDEX({"R1","R2","R3","Beyond"},_xlfn.MINIFS('M1 Requirements'!$M$5:$M$70,'M1 Requirements'!$H$5:$H$70,"*"&amp;A8&amp;"*")))</f>
        <v>not selected</v>
      </c>
      <c r="I8" s="12"/>
    </row>
    <row r="9" customFormat="false" ht="23.85" hidden="false" customHeight="false" outlineLevel="0" collapsed="false">
      <c r="A9" s="9" t="s">
        <v>404</v>
      </c>
      <c r="B9" s="10" t="s">
        <v>387</v>
      </c>
      <c r="C9" s="6" t="s">
        <v>405</v>
      </c>
      <c r="D9" s="11" t="s">
        <v>389</v>
      </c>
      <c r="E9" s="6" t="s">
        <v>406</v>
      </c>
      <c r="F9" s="6" t="s">
        <v>407</v>
      </c>
      <c r="G9" s="11" t="n">
        <f aca="false">COUNTIF('M1 Requirements'!$H$5:$H$70,"*"&amp;A9&amp;"*")</f>
        <v>5</v>
      </c>
      <c r="H9" s="11" t="str">
        <f aca="false">IF(_xlfn.MINIFS('M1 Requirements'!$M$5:$M$70,'M1 Requirements'!$H$5:$H$70,"*"&amp;A9&amp;"*")=0,"not selected",INDEX({"R1","R2","R3","Beyond"},_xlfn.MINIFS('M1 Requirements'!$M$5:$M$70,'M1 Requirements'!$H$5:$H$70,"*"&amp;A9&amp;"*")))</f>
        <v>not selected</v>
      </c>
      <c r="I9" s="12"/>
    </row>
    <row r="10" customFormat="false" ht="15" hidden="false" customHeight="false" outlineLevel="0" collapsed="false">
      <c r="A10" s="9" t="s">
        <v>369</v>
      </c>
      <c r="B10" s="10" t="s">
        <v>387</v>
      </c>
      <c r="C10" s="6" t="s">
        <v>408</v>
      </c>
      <c r="D10" s="11" t="s">
        <v>389</v>
      </c>
      <c r="E10" s="6" t="s">
        <v>409</v>
      </c>
      <c r="F10" s="6" t="s">
        <v>410</v>
      </c>
      <c r="G10" s="11" t="n">
        <f aca="false">COUNTIF('M1 Requirements'!$H$5:$H$70,"*"&amp;A10&amp;"*")</f>
        <v>2</v>
      </c>
      <c r="H10" s="11" t="str">
        <f aca="false">IF(_xlfn.MINIFS('M1 Requirements'!$M$5:$M$70,'M1 Requirements'!$H$5:$H$70,"*"&amp;A10&amp;"*")=0,"not selected",INDEX({"R1","R2","R3","Beyond"},_xlfn.MINIFS('M1 Requirements'!$M$5:$M$70,'M1 Requirements'!$H$5:$H$70,"*"&amp;A10&amp;"*")))</f>
        <v>not selected</v>
      </c>
      <c r="I10" s="12"/>
    </row>
    <row r="11" customFormat="false" ht="15" hidden="false" customHeight="false" outlineLevel="0" collapsed="false">
      <c r="A11" s="9" t="s">
        <v>147</v>
      </c>
      <c r="B11" s="10" t="s">
        <v>387</v>
      </c>
      <c r="C11" s="6" t="s">
        <v>411</v>
      </c>
      <c r="D11" s="11" t="s">
        <v>389</v>
      </c>
      <c r="E11" s="6" t="s">
        <v>412</v>
      </c>
      <c r="F11" s="6" t="s">
        <v>413</v>
      </c>
      <c r="G11" s="11" t="n">
        <f aca="false">COUNTIF('M1 Requirements'!$H$5:$H$70,"*"&amp;A11&amp;"*")</f>
        <v>3</v>
      </c>
      <c r="H11" s="11" t="str">
        <f aca="false">IF(_xlfn.MINIFS('M1 Requirements'!$M$5:$M$70,'M1 Requirements'!$H$5:$H$70,"*"&amp;A11&amp;"*")=0,"not selected",INDEX({"R1","R2","R3","Beyond"},_xlfn.MINIFS('M1 Requirements'!$M$5:$M$70,'M1 Requirements'!$H$5:$H$70,"*"&amp;A11&amp;"*")))</f>
        <v>not selected</v>
      </c>
      <c r="I11" s="12"/>
    </row>
    <row r="12" customFormat="false" ht="15" hidden="false" customHeight="false" outlineLevel="0" collapsed="false">
      <c r="A12" s="9" t="s">
        <v>414</v>
      </c>
      <c r="B12" s="10" t="s">
        <v>387</v>
      </c>
      <c r="C12" s="6" t="s">
        <v>415</v>
      </c>
      <c r="D12" s="11" t="s">
        <v>389</v>
      </c>
      <c r="E12" s="6" t="s">
        <v>416</v>
      </c>
      <c r="F12" s="6" t="s">
        <v>417</v>
      </c>
      <c r="G12" s="11" t="n">
        <f aca="false">COUNTIF('M1 Requirements'!$H$5:$H$70,"*"&amp;A12&amp;"*")</f>
        <v>2</v>
      </c>
      <c r="H12" s="11" t="str">
        <f aca="false">IF(_xlfn.MINIFS('M1 Requirements'!$M$5:$M$70,'M1 Requirements'!$H$5:$H$70,"*"&amp;A12&amp;"*")=0,"not selected",INDEX({"R1","R2","R3","Beyond"},_xlfn.MINIFS('M1 Requirements'!$M$5:$M$70,'M1 Requirements'!$H$5:$H$70,"*"&amp;A12&amp;"*")))</f>
        <v>not selected</v>
      </c>
      <c r="I12" s="12"/>
    </row>
    <row r="13" customFormat="false" ht="15" hidden="false" customHeight="false" outlineLevel="0" collapsed="false">
      <c r="A13" s="9" t="s">
        <v>418</v>
      </c>
      <c r="B13" s="10" t="s">
        <v>387</v>
      </c>
      <c r="C13" s="6" t="s">
        <v>419</v>
      </c>
      <c r="D13" s="11" t="s">
        <v>389</v>
      </c>
      <c r="E13" s="6" t="s">
        <v>420</v>
      </c>
      <c r="F13" s="6" t="s">
        <v>421</v>
      </c>
      <c r="G13" s="11" t="n">
        <f aca="false">COUNTIF('M1 Requirements'!$H$5:$H$70,"*"&amp;A13&amp;"*")</f>
        <v>2</v>
      </c>
      <c r="H13" s="11" t="str">
        <f aca="false">IF(_xlfn.MINIFS('M1 Requirements'!$M$5:$M$70,'M1 Requirements'!$H$5:$H$70,"*"&amp;A13&amp;"*")=0,"not selected",INDEX({"R1","R2","R3","Beyond"},_xlfn.MINIFS('M1 Requirements'!$M$5:$M$70,'M1 Requirements'!$H$5:$H$70,"*"&amp;A13&amp;"*")))</f>
        <v>not selected</v>
      </c>
      <c r="I13" s="12"/>
    </row>
    <row r="14" customFormat="false" ht="15" hidden="false" customHeight="false" outlineLevel="0" collapsed="false">
      <c r="A14" s="9" t="s">
        <v>422</v>
      </c>
      <c r="B14" s="10" t="s">
        <v>387</v>
      </c>
      <c r="C14" s="6" t="s">
        <v>423</v>
      </c>
      <c r="D14" s="11" t="s">
        <v>389</v>
      </c>
      <c r="E14" s="6" t="s">
        <v>424</v>
      </c>
      <c r="F14" s="6" t="s">
        <v>425</v>
      </c>
      <c r="G14" s="11" t="n">
        <f aca="false">COUNTIF('M1 Requirements'!$H$5:$H$70,"*"&amp;A14&amp;"*")</f>
        <v>1</v>
      </c>
      <c r="H14" s="11" t="str">
        <f aca="false">IF(_xlfn.MINIFS('M1 Requirements'!$M$5:$M$70,'M1 Requirements'!$H$5:$H$70,"*"&amp;A14&amp;"*")=0,"not selected",INDEX({"R1","R2","R3","Beyond"},_xlfn.MINIFS('M1 Requirements'!$M$5:$M$70,'M1 Requirements'!$H$5:$H$70,"*"&amp;A14&amp;"*")))</f>
        <v>not selected</v>
      </c>
      <c r="I14" s="12"/>
    </row>
    <row r="15" customFormat="false" ht="15" hidden="false" customHeight="false" outlineLevel="0" collapsed="false">
      <c r="A15" s="9" t="s">
        <v>426</v>
      </c>
      <c r="B15" s="10" t="s">
        <v>387</v>
      </c>
      <c r="C15" s="6" t="s">
        <v>427</v>
      </c>
      <c r="D15" s="11" t="s">
        <v>389</v>
      </c>
      <c r="E15" s="6" t="s">
        <v>428</v>
      </c>
      <c r="F15" s="6" t="s">
        <v>429</v>
      </c>
      <c r="G15" s="11" t="n">
        <f aca="false">COUNTIF('M1 Requirements'!$H$5:$H$70,"*"&amp;A15&amp;"*")</f>
        <v>2</v>
      </c>
      <c r="H15" s="11" t="str">
        <f aca="false">IF(_xlfn.MINIFS('M1 Requirements'!$M$5:$M$70,'M1 Requirements'!$H$5:$H$70,"*"&amp;A15&amp;"*")=0,"not selected",INDEX({"R1","R2","R3","Beyond"},_xlfn.MINIFS('M1 Requirements'!$M$5:$M$70,'M1 Requirements'!$H$5:$H$70,"*"&amp;A15&amp;"*")))</f>
        <v>not selected</v>
      </c>
      <c r="I15" s="12"/>
    </row>
    <row r="16" customFormat="false" ht="15" hidden="false" customHeight="false" outlineLevel="0" collapsed="false">
      <c r="A16" s="9" t="s">
        <v>364</v>
      </c>
      <c r="B16" s="10" t="s">
        <v>387</v>
      </c>
      <c r="C16" s="6" t="s">
        <v>430</v>
      </c>
      <c r="D16" s="11" t="s">
        <v>389</v>
      </c>
      <c r="E16" s="6" t="s">
        <v>431</v>
      </c>
      <c r="F16" s="6" t="s">
        <v>432</v>
      </c>
      <c r="G16" s="11" t="n">
        <f aca="false">COUNTIF('M1 Requirements'!$H$5:$H$70,"*"&amp;A16&amp;"*")</f>
        <v>2</v>
      </c>
      <c r="H16" s="11" t="str">
        <f aca="false">IF(_xlfn.MINIFS('M1 Requirements'!$M$5:$M$70,'M1 Requirements'!$H$5:$H$70,"*"&amp;A16&amp;"*")=0,"not selected",INDEX({"R1","R2","R3","Beyond"},_xlfn.MINIFS('M1 Requirements'!$M$5:$M$70,'M1 Requirements'!$H$5:$H$70,"*"&amp;A16&amp;"*")))</f>
        <v>not selected</v>
      </c>
      <c r="I16" s="12"/>
    </row>
    <row r="17" customFormat="false" ht="15" hidden="false" customHeight="false" outlineLevel="0" collapsed="false">
      <c r="A17" s="15" t="s">
        <v>433</v>
      </c>
      <c r="B17" s="16" t="s">
        <v>434</v>
      </c>
      <c r="C17" s="6" t="s">
        <v>435</v>
      </c>
      <c r="D17" s="11" t="s">
        <v>436</v>
      </c>
      <c r="E17" s="6" t="s">
        <v>437</v>
      </c>
      <c r="F17" s="6" t="s">
        <v>438</v>
      </c>
      <c r="G17" s="11" t="n">
        <f aca="false">COUNTIF('M1 Requirements'!$H$5:$H$70,"*"&amp;A17&amp;"*")</f>
        <v>3</v>
      </c>
      <c r="H17" s="11" t="str">
        <f aca="false">IF(_xlfn.MINIFS('M1 Requirements'!$M$5:$M$70,'M1 Requirements'!$H$5:$H$70,"*"&amp;A17&amp;"*")=0,"not selected",INDEX({"R1","R2","R3","Beyond"},_xlfn.MINIFS('M1 Requirements'!$M$5:$M$70,'M1 Requirements'!$H$5:$H$70,"*"&amp;A17&amp;"*")))</f>
        <v>not selected</v>
      </c>
      <c r="I17" s="12"/>
    </row>
    <row r="18" customFormat="false" ht="15" hidden="false" customHeight="false" outlineLevel="0" collapsed="false">
      <c r="A18" s="15" t="s">
        <v>439</v>
      </c>
      <c r="B18" s="16" t="s">
        <v>434</v>
      </c>
      <c r="C18" s="6" t="s">
        <v>440</v>
      </c>
      <c r="D18" s="11" t="s">
        <v>436</v>
      </c>
      <c r="E18" s="6" t="s">
        <v>441</v>
      </c>
      <c r="F18" s="6" t="s">
        <v>442</v>
      </c>
      <c r="G18" s="11" t="n">
        <f aca="false">COUNTIF('M1 Requirements'!$H$5:$H$70,"*"&amp;A18&amp;"*")</f>
        <v>7</v>
      </c>
      <c r="H18" s="11" t="str">
        <f aca="false">IF(_xlfn.MINIFS('M1 Requirements'!$M$5:$M$70,'M1 Requirements'!$H$5:$H$70,"*"&amp;A18&amp;"*")=0,"not selected",INDEX({"R1","R2","R3","Beyond"},_xlfn.MINIFS('M1 Requirements'!$M$5:$M$70,'M1 Requirements'!$H$5:$H$70,"*"&amp;A18&amp;"*")))</f>
        <v>not selected</v>
      </c>
      <c r="I18" s="12"/>
    </row>
    <row r="19" customFormat="false" ht="15" hidden="false" customHeight="false" outlineLevel="0" collapsed="false">
      <c r="A19" s="15" t="s">
        <v>443</v>
      </c>
      <c r="B19" s="16" t="s">
        <v>434</v>
      </c>
      <c r="C19" s="6" t="s">
        <v>444</v>
      </c>
      <c r="D19" s="11" t="s">
        <v>436</v>
      </c>
      <c r="E19" s="6" t="s">
        <v>445</v>
      </c>
      <c r="F19" s="6" t="s">
        <v>446</v>
      </c>
      <c r="G19" s="11" t="n">
        <f aca="false">COUNTIF('M1 Requirements'!$H$5:$H$70,"*"&amp;A19&amp;"*")</f>
        <v>2</v>
      </c>
      <c r="H19" s="11" t="str">
        <f aca="false">IF(_xlfn.MINIFS('M1 Requirements'!$M$5:$M$70,'M1 Requirements'!$H$5:$H$70,"*"&amp;A19&amp;"*")=0,"not selected",INDEX({"R1","R2","R3","Beyond"},_xlfn.MINIFS('M1 Requirements'!$M$5:$M$70,'M1 Requirements'!$H$5:$H$70,"*"&amp;A19&amp;"*")))</f>
        <v>not selected</v>
      </c>
      <c r="I19" s="12"/>
    </row>
    <row r="20" customFormat="false" ht="23.85" hidden="false" customHeight="false" outlineLevel="0" collapsed="false">
      <c r="A20" s="15" t="s">
        <v>447</v>
      </c>
      <c r="B20" s="16" t="s">
        <v>434</v>
      </c>
      <c r="C20" s="6" t="s">
        <v>448</v>
      </c>
      <c r="D20" s="11" t="s">
        <v>436</v>
      </c>
      <c r="E20" s="6" t="s">
        <v>449</v>
      </c>
      <c r="F20" s="6" t="s">
        <v>450</v>
      </c>
      <c r="G20" s="11" t="n">
        <f aca="false">COUNTIF('M1 Requirements'!$H$5:$H$70,"*"&amp;A20&amp;"*")</f>
        <v>5</v>
      </c>
      <c r="H20" s="11" t="str">
        <f aca="false">IF(_xlfn.MINIFS('M1 Requirements'!$M$5:$M$70,'M1 Requirements'!$H$5:$H$70,"*"&amp;A20&amp;"*")=0,"not selected",INDEX({"R1","R2","R3","Beyond"},_xlfn.MINIFS('M1 Requirements'!$M$5:$M$70,'M1 Requirements'!$H$5:$H$70,"*"&amp;A20&amp;"*")))</f>
        <v>not selected</v>
      </c>
      <c r="I20" s="12"/>
    </row>
    <row r="21" customFormat="false" ht="15" hidden="false" customHeight="false" outlineLevel="0" collapsed="false">
      <c r="A21" s="7" t="s">
        <v>451</v>
      </c>
      <c r="B21" s="12" t="s">
        <v>452</v>
      </c>
      <c r="C21" s="6" t="s">
        <v>453</v>
      </c>
      <c r="D21" s="11" t="s">
        <v>454</v>
      </c>
      <c r="E21" s="6" t="s">
        <v>455</v>
      </c>
      <c r="F21" s="6" t="s">
        <v>456</v>
      </c>
      <c r="G21" s="11" t="n">
        <f aca="false">COUNTIF('M1 Requirements'!$H$5:$H$70,"*"&amp;A21&amp;"*")</f>
        <v>6</v>
      </c>
      <c r="H21" s="11" t="str">
        <f aca="false">IF(_xlfn.MINIFS('M1 Requirements'!$M$5:$M$70,'M1 Requirements'!$H$5:$H$70,"*"&amp;A21&amp;"*")=0,"not selected",INDEX({"R1","R2","R3","Beyond"},_xlfn.MINIFS('M1 Requirements'!$M$5:$M$70,'M1 Requirements'!$H$5:$H$70,"*"&amp;A21&amp;"*")))</f>
        <v>not selected</v>
      </c>
      <c r="I21" s="12"/>
    </row>
    <row r="22" customFormat="false" ht="15" hidden="false" customHeight="false" outlineLevel="0" collapsed="false">
      <c r="A22" s="7" t="s">
        <v>457</v>
      </c>
      <c r="B22" s="12" t="s">
        <v>452</v>
      </c>
      <c r="C22" s="6" t="s">
        <v>458</v>
      </c>
      <c r="D22" s="11" t="s">
        <v>454</v>
      </c>
      <c r="E22" s="6" t="s">
        <v>459</v>
      </c>
      <c r="F22" s="6" t="s">
        <v>460</v>
      </c>
      <c r="G22" s="11" t="n">
        <f aca="false">COUNTIF('M1 Requirements'!$H$5:$H$70,"*"&amp;A22&amp;"*")</f>
        <v>2</v>
      </c>
      <c r="H22" s="11" t="str">
        <f aca="false">IF(_xlfn.MINIFS('M1 Requirements'!$M$5:$M$70,'M1 Requirements'!$H$5:$H$70,"*"&amp;A22&amp;"*")=0,"not selected",INDEX({"R1","R2","R3","Beyond"},_xlfn.MINIFS('M1 Requirements'!$M$5:$M$70,'M1 Requirements'!$H$5:$H$70,"*"&amp;A22&amp;"*")))</f>
        <v>not selected</v>
      </c>
      <c r="I22" s="12"/>
    </row>
    <row r="23" customFormat="false" ht="15" hidden="false" customHeight="false" outlineLevel="0" collapsed="false">
      <c r="A23" s="7" t="s">
        <v>461</v>
      </c>
      <c r="B23" s="12" t="s">
        <v>452</v>
      </c>
      <c r="C23" s="6" t="s">
        <v>462</v>
      </c>
      <c r="D23" s="11" t="s">
        <v>454</v>
      </c>
      <c r="E23" s="6" t="s">
        <v>463</v>
      </c>
      <c r="F23" s="6" t="s">
        <v>464</v>
      </c>
      <c r="G23" s="11" t="n">
        <f aca="false">COUNTIF('M1 Requirements'!$H$5:$H$70,"*"&amp;A23&amp;"*")</f>
        <v>1</v>
      </c>
      <c r="H23" s="11" t="str">
        <f aca="false">IF(_xlfn.MINIFS('M1 Requirements'!$M$5:$M$70,'M1 Requirements'!$H$5:$H$70,"*"&amp;A23&amp;"*")=0,"not selected",INDEX({"R1","R2","R3","Beyond"},_xlfn.MINIFS('M1 Requirements'!$M$5:$M$70,'M1 Requirements'!$H$5:$H$70,"*"&amp;A23&amp;"*")))</f>
        <v>not selected</v>
      </c>
      <c r="I23" s="12"/>
    </row>
    <row r="24" customFormat="false" ht="23.85" hidden="false" customHeight="false" outlineLevel="0" collapsed="false">
      <c r="A24" s="7" t="s">
        <v>465</v>
      </c>
      <c r="B24" s="12" t="s">
        <v>452</v>
      </c>
      <c r="C24" s="6" t="s">
        <v>466</v>
      </c>
      <c r="D24" s="11" t="s">
        <v>454</v>
      </c>
      <c r="E24" s="6" t="s">
        <v>467</v>
      </c>
      <c r="F24" s="6" t="s">
        <v>468</v>
      </c>
      <c r="G24" s="11" t="n">
        <f aca="false">COUNTIF('M1 Requirements'!$H$5:$H$70,"*"&amp;A24&amp;"*")</f>
        <v>1</v>
      </c>
      <c r="H24" s="11" t="str">
        <f aca="false">IF(_xlfn.MINIFS('M1 Requirements'!$M$5:$M$70,'M1 Requirements'!$H$5:$H$70,"*"&amp;A24&amp;"*")=0,"not selected",INDEX({"R1","R2","R3","Beyond"},_xlfn.MINIFS('M1 Requirements'!$M$5:$M$70,'M1 Requirements'!$H$5:$H$70,"*"&amp;A24&amp;"*")))</f>
        <v>not selected</v>
      </c>
      <c r="I24" s="12"/>
    </row>
    <row r="25" customFormat="false" ht="15" hidden="false" customHeight="false" outlineLevel="0" collapsed="false">
      <c r="A25" s="7" t="s">
        <v>469</v>
      </c>
      <c r="B25" s="12" t="s">
        <v>452</v>
      </c>
      <c r="C25" s="6" t="s">
        <v>470</v>
      </c>
      <c r="D25" s="11" t="s">
        <v>454</v>
      </c>
      <c r="E25" s="6" t="s">
        <v>471</v>
      </c>
      <c r="F25" s="6" t="s">
        <v>472</v>
      </c>
      <c r="G25" s="11" t="n">
        <f aca="false">COUNTIF('M1 Requirements'!$H$5:$H$70,"*"&amp;A25&amp;"*")</f>
        <v>4</v>
      </c>
      <c r="H25" s="11" t="str">
        <f aca="false">IF(_xlfn.MINIFS('M1 Requirements'!$M$5:$M$70,'M1 Requirements'!$H$5:$H$70,"*"&amp;A25&amp;"*")=0,"not selected",INDEX({"R1","R2","R3","Beyond"},_xlfn.MINIFS('M1 Requirements'!$M$5:$M$70,'M1 Requirements'!$H$5:$H$70,"*"&amp;A25&amp;"*")))</f>
        <v>not selected</v>
      </c>
      <c r="I25" s="12"/>
    </row>
    <row r="26" customFormat="false" ht="15" hidden="false" customHeight="false" outlineLevel="0" collapsed="false">
      <c r="A26" s="13" t="s">
        <v>473</v>
      </c>
      <c r="B26" s="14" t="s">
        <v>474</v>
      </c>
      <c r="C26" s="6" t="s">
        <v>475</v>
      </c>
      <c r="D26" s="11" t="s">
        <v>436</v>
      </c>
      <c r="E26" s="6" t="s">
        <v>476</v>
      </c>
      <c r="F26" s="6" t="s">
        <v>477</v>
      </c>
      <c r="G26" s="11" t="n">
        <f aca="false">COUNTIF('M1 Requirements'!$H$5:$H$70,"*"&amp;A26&amp;"*")</f>
        <v>2</v>
      </c>
      <c r="H26" s="11" t="str">
        <f aca="false">IF(_xlfn.MINIFS('M1 Requirements'!$M$5:$M$70,'M1 Requirements'!$H$5:$H$70,"*"&amp;A26&amp;"*")=0,"not selected",INDEX({"R1","R2","R3","Beyond"},_xlfn.MINIFS('M1 Requirements'!$M$5:$M$70,'M1 Requirements'!$H$5:$H$70,"*"&amp;A26&amp;"*")))</f>
        <v>not selected</v>
      </c>
      <c r="I26" s="12"/>
    </row>
    <row r="27" customFormat="false" ht="15" hidden="false" customHeight="false" outlineLevel="0" collapsed="false">
      <c r="A27" s="13" t="s">
        <v>478</v>
      </c>
      <c r="B27" s="14" t="s">
        <v>474</v>
      </c>
      <c r="C27" s="6" t="s">
        <v>479</v>
      </c>
      <c r="D27" s="11" t="s">
        <v>436</v>
      </c>
      <c r="E27" s="6" t="s">
        <v>480</v>
      </c>
      <c r="F27" s="6" t="s">
        <v>481</v>
      </c>
      <c r="G27" s="11" t="n">
        <f aca="false">COUNTIF('M1 Requirements'!$H$5:$H$70,"*"&amp;A27&amp;"*")</f>
        <v>8</v>
      </c>
      <c r="H27" s="11" t="str">
        <f aca="false">IF(_xlfn.MINIFS('M1 Requirements'!$M$5:$M$70,'M1 Requirements'!$H$5:$H$70,"*"&amp;A27&amp;"*")=0,"not selected",INDEX({"R1","R2","R3","Beyond"},_xlfn.MINIFS('M1 Requirements'!$M$5:$M$70,'M1 Requirements'!$H$5:$H$70,"*"&amp;A27&amp;"*")))</f>
        <v>not selected</v>
      </c>
      <c r="I27" s="12"/>
    </row>
    <row r="28" customFormat="false" ht="23.85" hidden="false" customHeight="false" outlineLevel="0" collapsed="false">
      <c r="A28" s="13" t="s">
        <v>482</v>
      </c>
      <c r="B28" s="14" t="s">
        <v>474</v>
      </c>
      <c r="C28" s="6" t="s">
        <v>483</v>
      </c>
      <c r="D28" s="11" t="s">
        <v>436</v>
      </c>
      <c r="E28" s="6" t="s">
        <v>484</v>
      </c>
      <c r="F28" s="6" t="s">
        <v>485</v>
      </c>
      <c r="G28" s="11" t="n">
        <f aca="false">COUNTIF('M1 Requirements'!$H$5:$H$70,"*"&amp;A28&amp;"*")</f>
        <v>19</v>
      </c>
      <c r="H28" s="11" t="str">
        <f aca="false">IF(_xlfn.MINIFS('M1 Requirements'!$M$5:$M$70,'M1 Requirements'!$H$5:$H$70,"*"&amp;A28&amp;"*")=0,"not selected",INDEX({"R1","R2","R3","Beyond"},_xlfn.MINIFS('M1 Requirements'!$M$5:$M$70,'M1 Requirements'!$H$5:$H$70,"*"&amp;A28&amp;"*")))</f>
        <v>not selected</v>
      </c>
      <c r="I28" s="12"/>
    </row>
    <row r="29" customFormat="false" ht="15" hidden="false" customHeight="false" outlineLevel="0" collapsed="false">
      <c r="A29" s="13" t="s">
        <v>486</v>
      </c>
      <c r="B29" s="14" t="s">
        <v>474</v>
      </c>
      <c r="C29" s="6" t="s">
        <v>487</v>
      </c>
      <c r="D29" s="11" t="s">
        <v>436</v>
      </c>
      <c r="E29" s="6" t="s">
        <v>488</v>
      </c>
      <c r="F29" s="6" t="s">
        <v>489</v>
      </c>
      <c r="G29" s="11" t="n">
        <f aca="false">COUNTIF('M1 Requirements'!$H$5:$H$70,"*"&amp;A29&amp;"*")</f>
        <v>2</v>
      </c>
      <c r="H29" s="11" t="str">
        <f aca="false">IF(_xlfn.MINIFS('M1 Requirements'!$M$5:$M$70,'M1 Requirements'!$H$5:$H$70,"*"&amp;A29&amp;"*")=0,"not selected",INDEX({"R1","R2","R3","Beyond"},_xlfn.MINIFS('M1 Requirements'!$M$5:$M$70,'M1 Requirements'!$H$5:$H$70,"*"&amp;A29&amp;"*")))</f>
        <v>not selected</v>
      </c>
      <c r="I29" s="12"/>
    </row>
    <row r="30" customFormat="false" ht="15" hidden="false" customHeight="false" outlineLevel="0" collapsed="false">
      <c r="A30" s="13" t="s">
        <v>490</v>
      </c>
      <c r="B30" s="14" t="s">
        <v>474</v>
      </c>
      <c r="C30" s="6" t="s">
        <v>491</v>
      </c>
      <c r="D30" s="11" t="s">
        <v>436</v>
      </c>
      <c r="E30" s="6" t="s">
        <v>492</v>
      </c>
      <c r="F30" s="6" t="s">
        <v>493</v>
      </c>
      <c r="G30" s="11" t="n">
        <f aca="false">COUNTIF('M1 Requirements'!$H$5:$H$70,"*"&amp;A30&amp;"*")</f>
        <v>2</v>
      </c>
      <c r="H30" s="11" t="str">
        <f aca="false">IF(_xlfn.MINIFS('M1 Requirements'!$M$5:$M$70,'M1 Requirements'!$H$5:$H$70,"*"&amp;A30&amp;"*")=0,"not selected",INDEX({"R1","R2","R3","Beyond"},_xlfn.MINIFS('M1 Requirements'!$M$5:$M$70,'M1 Requirements'!$H$5:$H$70,"*"&amp;A30&amp;"*")))</f>
        <v>not selected</v>
      </c>
      <c r="I30" s="12"/>
    </row>
    <row r="31" customFormat="false" ht="15" hidden="false" customHeight="false" outlineLevel="0" collapsed="false">
      <c r="A31" s="13" t="s">
        <v>357</v>
      </c>
      <c r="B31" s="14" t="s">
        <v>474</v>
      </c>
      <c r="C31" s="6" t="s">
        <v>494</v>
      </c>
      <c r="D31" s="11" t="s">
        <v>436</v>
      </c>
      <c r="E31" s="6" t="s">
        <v>495</v>
      </c>
      <c r="F31" s="6" t="s">
        <v>496</v>
      </c>
      <c r="G31" s="11" t="n">
        <f aca="false">COUNTIF('M1 Requirements'!$H$5:$H$70,"*"&amp;A31&amp;"*")</f>
        <v>2</v>
      </c>
      <c r="H31" s="11" t="str">
        <f aca="false">IF(_xlfn.MINIFS('M1 Requirements'!$M$5:$M$70,'M1 Requirements'!$H$5:$H$70,"*"&amp;A31&amp;"*")=0,"not selected",INDEX({"R1","R2","R3","Beyond"},_xlfn.MINIFS('M1 Requirements'!$M$5:$M$70,'M1 Requirements'!$H$5:$H$70,"*"&amp;A31&amp;"*")))</f>
        <v>not selected</v>
      </c>
      <c r="I31" s="12"/>
    </row>
    <row r="32" customFormat="false" ht="15" hidden="false" customHeight="false" outlineLevel="0" collapsed="false">
      <c r="A32" s="13" t="s">
        <v>497</v>
      </c>
      <c r="B32" s="14" t="s">
        <v>474</v>
      </c>
      <c r="C32" s="6" t="s">
        <v>498</v>
      </c>
      <c r="D32" s="11" t="s">
        <v>436</v>
      </c>
      <c r="E32" s="6" t="s">
        <v>499</v>
      </c>
      <c r="F32" s="6" t="s">
        <v>500</v>
      </c>
      <c r="G32" s="11" t="n">
        <f aca="false">COUNTIF('M1 Requirements'!$H$5:$H$70,"*"&amp;A32&amp;"*")</f>
        <v>3</v>
      </c>
      <c r="H32" s="11" t="str">
        <f aca="false">IF(_xlfn.MINIFS('M1 Requirements'!$M$5:$M$70,'M1 Requirements'!$H$5:$H$70,"*"&amp;A32&amp;"*")=0,"not selected",INDEX({"R1","R2","R3","Beyond"},_xlfn.MINIFS('M1 Requirements'!$M$5:$M$70,'M1 Requirements'!$H$5:$H$70,"*"&amp;A32&amp;"*")))</f>
        <v>not selected</v>
      </c>
      <c r="I32" s="12"/>
    </row>
    <row r="33" customFormat="false" ht="15" hidden="false" customHeight="false" outlineLevel="0" collapsed="false">
      <c r="A33" s="13" t="s">
        <v>501</v>
      </c>
      <c r="B33" s="14" t="s">
        <v>474</v>
      </c>
      <c r="C33" s="6" t="s">
        <v>502</v>
      </c>
      <c r="D33" s="11" t="s">
        <v>436</v>
      </c>
      <c r="E33" s="6" t="s">
        <v>503</v>
      </c>
      <c r="F33" s="6" t="s">
        <v>504</v>
      </c>
      <c r="G33" s="11" t="n">
        <f aca="false">COUNTIF('M1 Requirements'!$H$5:$H$70,"*"&amp;A33&amp;"*")</f>
        <v>2</v>
      </c>
      <c r="H33" s="11" t="str">
        <f aca="false">IF(_xlfn.MINIFS('M1 Requirements'!$M$5:$M$70,'M1 Requirements'!$H$5:$H$70,"*"&amp;A33&amp;"*")=0,"not selected",INDEX({"R1","R2","R3","Beyond"},_xlfn.MINIFS('M1 Requirements'!$M$5:$M$70,'M1 Requirements'!$H$5:$H$70,"*"&amp;A33&amp;"*")))</f>
        <v>not selected</v>
      </c>
      <c r="I33" s="12"/>
    </row>
    <row r="34" customFormat="false" ht="15" hidden="false" customHeight="false" outlineLevel="0" collapsed="false">
      <c r="A34" s="17" t="s">
        <v>290</v>
      </c>
      <c r="B34" s="18" t="s">
        <v>505</v>
      </c>
      <c r="C34" s="6" t="s">
        <v>506</v>
      </c>
      <c r="D34" s="11" t="s">
        <v>285</v>
      </c>
      <c r="E34" s="6" t="s">
        <v>507</v>
      </c>
      <c r="F34" s="6" t="s">
        <v>508</v>
      </c>
      <c r="G34" s="11" t="n">
        <f aca="false">COUNTIF('M1 Requirements'!$H$5:$H$70,"*"&amp;A34&amp;"*")</f>
        <v>4</v>
      </c>
      <c r="H34" s="11" t="str">
        <f aca="false">IF(_xlfn.MINIFS('M1 Requirements'!$M$5:$M$70,'M1 Requirements'!$H$5:$H$70,"*"&amp;A34&amp;"*")=0,"not selected",INDEX({"R1","R2","R3","Beyond"},_xlfn.MINIFS('M1 Requirements'!$M$5:$M$70,'M1 Requirements'!$H$5:$H$70,"*"&amp;A34&amp;"*")))</f>
        <v>not selected</v>
      </c>
      <c r="I34" s="12"/>
    </row>
    <row r="35" customFormat="false" ht="15" hidden="false" customHeight="false" outlineLevel="0" collapsed="false">
      <c r="A35" s="17" t="s">
        <v>300</v>
      </c>
      <c r="B35" s="18" t="s">
        <v>505</v>
      </c>
      <c r="C35" s="6" t="s">
        <v>509</v>
      </c>
      <c r="D35" s="11" t="s">
        <v>285</v>
      </c>
      <c r="E35" s="6" t="s">
        <v>510</v>
      </c>
      <c r="F35" s="6" t="s">
        <v>511</v>
      </c>
      <c r="G35" s="11" t="n">
        <f aca="false">COUNTIF('M1 Requirements'!$H$5:$H$70,"*"&amp;A35&amp;"*")</f>
        <v>5</v>
      </c>
      <c r="H35" s="11" t="str">
        <f aca="false">IF(_xlfn.MINIFS('M1 Requirements'!$M$5:$M$70,'M1 Requirements'!$H$5:$H$70,"*"&amp;A35&amp;"*")=0,"not selected",INDEX({"R1","R2","R3","Beyond"},_xlfn.MINIFS('M1 Requirements'!$M$5:$M$70,'M1 Requirements'!$H$5:$H$70,"*"&amp;A35&amp;"*")))</f>
        <v>not selected</v>
      </c>
      <c r="I35" s="12"/>
    </row>
    <row r="36" customFormat="false" ht="23.85" hidden="false" customHeight="false" outlineLevel="0" collapsed="false">
      <c r="A36" s="17" t="s">
        <v>512</v>
      </c>
      <c r="B36" s="18" t="s">
        <v>505</v>
      </c>
      <c r="C36" s="6" t="s">
        <v>513</v>
      </c>
      <c r="D36" s="11" t="s">
        <v>285</v>
      </c>
      <c r="E36" s="6" t="s">
        <v>514</v>
      </c>
      <c r="F36" s="6" t="s">
        <v>515</v>
      </c>
      <c r="G36" s="11" t="n">
        <f aca="false">COUNTIF('M1 Requirements'!$H$5:$H$70,"*"&amp;A36&amp;"*")</f>
        <v>7</v>
      </c>
      <c r="H36" s="11" t="str">
        <f aca="false">IF(_xlfn.MINIFS('M1 Requirements'!$M$5:$M$70,'M1 Requirements'!$H$5:$H$70,"*"&amp;A36&amp;"*")=0,"not selected",INDEX({"R1","R2","R3","Beyond"},_xlfn.MINIFS('M1 Requirements'!$M$5:$M$70,'M1 Requirements'!$H$5:$H$70,"*"&amp;A36&amp;"*")))</f>
        <v>not selected</v>
      </c>
      <c r="I36" s="12"/>
    </row>
    <row r="37" customFormat="false" ht="15" hidden="false" customHeight="false" outlineLevel="0" collapsed="false">
      <c r="A37" s="17" t="s">
        <v>516</v>
      </c>
      <c r="B37" s="18" t="s">
        <v>505</v>
      </c>
      <c r="C37" s="6" t="s">
        <v>517</v>
      </c>
      <c r="D37" s="11" t="s">
        <v>285</v>
      </c>
      <c r="E37" s="6" t="s">
        <v>518</v>
      </c>
      <c r="F37" s="6" t="s">
        <v>477</v>
      </c>
      <c r="G37" s="11" t="n">
        <f aca="false">COUNTIF('M1 Requirements'!$H$5:$H$70,"*"&amp;A37&amp;"*")</f>
        <v>5</v>
      </c>
      <c r="H37" s="11" t="str">
        <f aca="false">IF(_xlfn.MINIFS('M1 Requirements'!$M$5:$M$70,'M1 Requirements'!$H$5:$H$70,"*"&amp;A37&amp;"*")=0,"not selected",INDEX({"R1","R2","R3","Beyond"},_xlfn.MINIFS('M1 Requirements'!$M$5:$M$70,'M1 Requirements'!$H$5:$H$70,"*"&amp;A37&amp;"*")))</f>
        <v>not selected</v>
      </c>
      <c r="I37" s="12"/>
    </row>
    <row r="38" customFormat="false" ht="15" hidden="false" customHeight="false" outlineLevel="0" collapsed="false">
      <c r="A38" s="17" t="s">
        <v>318</v>
      </c>
      <c r="B38" s="18" t="s">
        <v>505</v>
      </c>
      <c r="C38" s="6" t="s">
        <v>519</v>
      </c>
      <c r="D38" s="11" t="s">
        <v>285</v>
      </c>
      <c r="E38" s="6" t="s">
        <v>520</v>
      </c>
      <c r="F38" s="6" t="s">
        <v>521</v>
      </c>
      <c r="G38" s="11" t="n">
        <f aca="false">COUNTIF('M1 Requirements'!$H$5:$H$70,"*"&amp;A38&amp;"*")</f>
        <v>4</v>
      </c>
      <c r="H38" s="11" t="str">
        <f aca="false">IF(_xlfn.MINIFS('M1 Requirements'!$M$5:$M$70,'M1 Requirements'!$H$5:$H$70,"*"&amp;A38&amp;"*")=0,"not selected",INDEX({"R1","R2","R3","Beyond"},_xlfn.MINIFS('M1 Requirements'!$M$5:$M$70,'M1 Requirements'!$H$5:$H$70,"*"&amp;A38&amp;"*")))</f>
        <v>not selected</v>
      </c>
      <c r="I38" s="12"/>
    </row>
    <row r="39" customFormat="false" ht="15" hidden="false" customHeight="false" outlineLevel="0" collapsed="false">
      <c r="A39" s="17" t="s">
        <v>522</v>
      </c>
      <c r="B39" s="18" t="s">
        <v>505</v>
      </c>
      <c r="C39" s="6" t="s">
        <v>523</v>
      </c>
      <c r="D39" s="11" t="s">
        <v>285</v>
      </c>
      <c r="E39" s="6" t="s">
        <v>524</v>
      </c>
      <c r="F39" s="6" t="s">
        <v>525</v>
      </c>
      <c r="G39" s="11" t="n">
        <f aca="false">COUNTIF('M1 Requirements'!$H$5:$H$70,"*"&amp;A39&amp;"*")</f>
        <v>5</v>
      </c>
      <c r="H39" s="11" t="str">
        <f aca="false">IF(_xlfn.MINIFS('M1 Requirements'!$M$5:$M$70,'M1 Requirements'!$H$5:$H$70,"*"&amp;A39&amp;"*")=0,"not selected",INDEX({"R1","R2","R3","Beyond"},_xlfn.MINIFS('M1 Requirements'!$M$5:$M$70,'M1 Requirements'!$H$5:$H$70,"*"&amp;A39&amp;"*")))</f>
        <v>not selected</v>
      </c>
      <c r="I39" s="12"/>
    </row>
    <row r="40" customFormat="false" ht="15" hidden="false" customHeight="false" outlineLevel="0" collapsed="false">
      <c r="A40" s="21" t="s">
        <v>526</v>
      </c>
      <c r="B40" s="22" t="s">
        <v>527</v>
      </c>
      <c r="C40" s="6" t="s">
        <v>528</v>
      </c>
      <c r="D40" s="11" t="s">
        <v>436</v>
      </c>
      <c r="E40" s="6" t="s">
        <v>529</v>
      </c>
      <c r="F40" s="6" t="s">
        <v>530</v>
      </c>
      <c r="G40" s="11" t="n">
        <f aca="false">COUNTIF('M1 Requirements'!$H$5:$H$70,"*"&amp;A40&amp;"*")</f>
        <v>2</v>
      </c>
      <c r="H40" s="11" t="str">
        <f aca="false">IF(_xlfn.MINIFS('M1 Requirements'!$M$5:$M$70,'M1 Requirements'!$H$5:$H$70,"*"&amp;A40&amp;"*")=0,"not selected",INDEX({"R1","R2","R3","Beyond"},_xlfn.MINIFS('M1 Requirements'!$M$5:$M$70,'M1 Requirements'!$H$5:$H$70,"*"&amp;A40&amp;"*")))</f>
        <v>not selected</v>
      </c>
      <c r="I40" s="12"/>
    </row>
    <row r="41" customFormat="false" ht="23.85" hidden="false" customHeight="false" outlineLevel="0" collapsed="false">
      <c r="A41" s="21" t="s">
        <v>249</v>
      </c>
      <c r="B41" s="22" t="s">
        <v>527</v>
      </c>
      <c r="C41" s="6" t="s">
        <v>531</v>
      </c>
      <c r="D41" s="11" t="s">
        <v>436</v>
      </c>
      <c r="E41" s="6" t="s">
        <v>532</v>
      </c>
      <c r="F41" s="6" t="s">
        <v>533</v>
      </c>
      <c r="G41" s="11" t="n">
        <f aca="false">COUNTIF('M1 Requirements'!$H$5:$H$70,"*"&amp;A41&amp;"*")</f>
        <v>2</v>
      </c>
      <c r="H41" s="11" t="str">
        <f aca="false">IF(_xlfn.MINIFS('M1 Requirements'!$M$5:$M$70,'M1 Requirements'!$H$5:$H$70,"*"&amp;A41&amp;"*")=0,"not selected",INDEX({"R1","R2","R3","Beyond"},_xlfn.MINIFS('M1 Requirements'!$M$5:$M$70,'M1 Requirements'!$H$5:$H$70,"*"&amp;A41&amp;"*")))</f>
        <v>not selected</v>
      </c>
      <c r="I41" s="12"/>
    </row>
    <row r="42" customFormat="false" ht="15" hidden="false" customHeight="false" outlineLevel="0" collapsed="false">
      <c r="A42" s="21" t="s">
        <v>534</v>
      </c>
      <c r="B42" s="22" t="s">
        <v>527</v>
      </c>
      <c r="C42" s="6" t="s">
        <v>535</v>
      </c>
      <c r="D42" s="11" t="s">
        <v>436</v>
      </c>
      <c r="E42" s="6" t="s">
        <v>536</v>
      </c>
      <c r="F42" s="6" t="s">
        <v>537</v>
      </c>
      <c r="G42" s="11" t="n">
        <f aca="false">COUNTIF('M1 Requirements'!$H$5:$H$70,"*"&amp;A42&amp;"*")</f>
        <v>1</v>
      </c>
      <c r="H42" s="11" t="str">
        <f aca="false">IF(_xlfn.MINIFS('M1 Requirements'!$M$5:$M$70,'M1 Requirements'!$H$5:$H$70,"*"&amp;A42&amp;"*")=0,"not selected",INDEX({"R1","R2","R3","Beyond"},_xlfn.MINIFS('M1 Requirements'!$M$5:$M$70,'M1 Requirements'!$H$5:$H$70,"*"&amp;A42&amp;"*")))</f>
        <v>not selected</v>
      </c>
      <c r="I42" s="12"/>
    </row>
    <row r="43" customFormat="false" ht="15" hidden="false" customHeight="false" outlineLevel="0" collapsed="false">
      <c r="A43" s="21" t="s">
        <v>268</v>
      </c>
      <c r="B43" s="22" t="s">
        <v>527</v>
      </c>
      <c r="C43" s="6" t="s">
        <v>538</v>
      </c>
      <c r="D43" s="11" t="s">
        <v>389</v>
      </c>
      <c r="E43" s="6" t="s">
        <v>539</v>
      </c>
      <c r="F43" s="6" t="s">
        <v>540</v>
      </c>
      <c r="G43" s="11" t="n">
        <f aca="false">COUNTIF('M1 Requirements'!$H$5:$H$70,"*"&amp;A43&amp;"*")</f>
        <v>2</v>
      </c>
      <c r="H43" s="11" t="str">
        <f aca="false">IF(_xlfn.MINIFS('M1 Requirements'!$M$5:$M$70,'M1 Requirements'!$H$5:$H$70,"*"&amp;A43&amp;"*")=0,"not selected",INDEX({"R1","R2","R3","Beyond"},_xlfn.MINIFS('M1 Requirements'!$M$5:$M$70,'M1 Requirements'!$H$5:$H$70,"*"&amp;A43&amp;"*")))</f>
        <v>not selected</v>
      </c>
      <c r="I43" s="12"/>
    </row>
    <row r="44" customFormat="false" ht="15" hidden="false" customHeight="false" outlineLevel="0" collapsed="false">
      <c r="A44" s="21" t="s">
        <v>165</v>
      </c>
      <c r="B44" s="22" t="s">
        <v>527</v>
      </c>
      <c r="C44" s="6" t="s">
        <v>541</v>
      </c>
      <c r="D44" s="11" t="s">
        <v>436</v>
      </c>
      <c r="E44" s="6" t="s">
        <v>542</v>
      </c>
      <c r="F44" s="6" t="s">
        <v>543</v>
      </c>
      <c r="G44" s="11" t="n">
        <f aca="false">COUNTIF('M1 Requirements'!$H$5:$H$70,"*"&amp;A44&amp;"*")</f>
        <v>5</v>
      </c>
      <c r="H44" s="11" t="str">
        <f aca="false">IF(_xlfn.MINIFS('M1 Requirements'!$M$5:$M$70,'M1 Requirements'!$H$5:$H$70,"*"&amp;A44&amp;"*")=0,"not selected",INDEX({"R1","R2","R3","Beyond"},_xlfn.MINIFS('M1 Requirements'!$M$5:$M$70,'M1 Requirements'!$H$5:$H$70,"*"&amp;A44&amp;"*")))</f>
        <v>not selected</v>
      </c>
      <c r="I44" s="12"/>
    </row>
    <row r="45" customFormat="false" ht="15" hidden="false" customHeight="false" outlineLevel="0" collapsed="false">
      <c r="A45" s="21" t="s">
        <v>544</v>
      </c>
      <c r="B45" s="22" t="s">
        <v>527</v>
      </c>
      <c r="C45" s="6" t="s">
        <v>545</v>
      </c>
      <c r="D45" s="11" t="s">
        <v>546</v>
      </c>
      <c r="E45" s="6" t="s">
        <v>547</v>
      </c>
      <c r="F45" s="6" t="s">
        <v>548</v>
      </c>
      <c r="G45" s="11" t="n">
        <f aca="false">COUNTIF('M1 Requirements'!$H$5:$H$70,"*"&amp;A45&amp;"*")</f>
        <v>2</v>
      </c>
      <c r="H45" s="11" t="str">
        <f aca="false">IF(_xlfn.MINIFS('M1 Requirements'!$M$5:$M$70,'M1 Requirements'!$H$5:$H$70,"*"&amp;A45&amp;"*")=0,"not selected",INDEX({"R1","R2","R3","Beyond"},_xlfn.MINIFS('M1 Requirements'!$M$5:$M$70,'M1 Requirements'!$H$5:$H$70,"*"&amp;A45&amp;"*")))</f>
        <v>not selected</v>
      </c>
      <c r="I45" s="12"/>
    </row>
    <row r="47" customFormat="false" ht="15" hidden="false" customHeight="false" outlineLevel="0" collapsed="false">
      <c r="B47" s="3" t="s">
        <v>549</v>
      </c>
    </row>
    <row r="48" customFormat="false" ht="15" hidden="false" customHeight="true" outlineLevel="0" collapsed="false">
      <c r="B48" s="9" t="s">
        <v>387</v>
      </c>
      <c r="C48" s="6" t="s">
        <v>550</v>
      </c>
      <c r="D48" s="6"/>
      <c r="E48" s="6"/>
    </row>
    <row r="49" customFormat="false" ht="15" hidden="false" customHeight="true" outlineLevel="0" collapsed="false">
      <c r="B49" s="15" t="s">
        <v>434</v>
      </c>
      <c r="C49" s="6" t="s">
        <v>551</v>
      </c>
      <c r="D49" s="6"/>
      <c r="E49" s="6"/>
    </row>
    <row r="50" customFormat="false" ht="15" hidden="false" customHeight="true" outlineLevel="0" collapsed="false">
      <c r="B50" s="7" t="s">
        <v>452</v>
      </c>
      <c r="C50" s="6" t="s">
        <v>552</v>
      </c>
      <c r="D50" s="6"/>
      <c r="E50" s="6"/>
    </row>
    <row r="51" customFormat="false" ht="15" hidden="false" customHeight="true" outlineLevel="0" collapsed="false">
      <c r="B51" s="13" t="s">
        <v>474</v>
      </c>
      <c r="C51" s="6" t="s">
        <v>553</v>
      </c>
      <c r="D51" s="6"/>
      <c r="E51" s="6"/>
    </row>
    <row r="52" customFormat="false" ht="15" hidden="false" customHeight="true" outlineLevel="0" collapsed="false">
      <c r="B52" s="17" t="s">
        <v>505</v>
      </c>
      <c r="C52" s="6" t="s">
        <v>554</v>
      </c>
      <c r="D52" s="6"/>
      <c r="E52" s="6"/>
    </row>
    <row r="53" customFormat="false" ht="15" hidden="false" customHeight="true" outlineLevel="0" collapsed="false">
      <c r="B53" s="21" t="s">
        <v>527</v>
      </c>
      <c r="C53" s="6" t="s">
        <v>555</v>
      </c>
      <c r="D53" s="6"/>
      <c r="E53" s="6"/>
    </row>
  </sheetData>
  <autoFilter ref="A4:I45"/>
  <mergeCells count="6">
    <mergeCell ref="C48:E48"/>
    <mergeCell ref="C49:E49"/>
    <mergeCell ref="C50:E50"/>
    <mergeCell ref="C51:E51"/>
    <mergeCell ref="C52:E52"/>
    <mergeCell ref="C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3" min="3" style="0" width="3.61"/>
  </cols>
  <sheetData>
    <row r="1" customFormat="false" ht="19.7" hidden="false" customHeight="false" outlineLevel="0" collapsed="false">
      <c r="A1" s="1" t="s">
        <v>556</v>
      </c>
    </row>
    <row r="2" customFormat="false" ht="15" hidden="false" customHeight="false" outlineLevel="0" collapsed="false">
      <c r="A2" s="2" t="s">
        <v>557</v>
      </c>
    </row>
    <row r="3" customFormat="false" ht="37.3" hidden="false" customHeight="false" outlineLevel="0" collapsed="false">
      <c r="C3" s="23" t="s">
        <v>558</v>
      </c>
      <c r="D3" s="23" t="s">
        <v>558</v>
      </c>
      <c r="E3" s="23" t="s">
        <v>558</v>
      </c>
      <c r="F3" s="23" t="s">
        <v>558</v>
      </c>
      <c r="G3" s="23" t="s">
        <v>558</v>
      </c>
      <c r="H3" s="23" t="s">
        <v>558</v>
      </c>
      <c r="I3" s="23" t="s">
        <v>558</v>
      </c>
      <c r="J3" s="23" t="s">
        <v>558</v>
      </c>
      <c r="K3" s="23" t="s">
        <v>558</v>
      </c>
      <c r="L3" s="23" t="s">
        <v>558</v>
      </c>
      <c r="M3" s="23" t="s">
        <v>558</v>
      </c>
      <c r="N3" s="23" t="s">
        <v>558</v>
      </c>
      <c r="O3" s="24" t="s">
        <v>559</v>
      </c>
      <c r="P3" s="24" t="s">
        <v>559</v>
      </c>
      <c r="Q3" s="24" t="s">
        <v>559</v>
      </c>
      <c r="R3" s="24" t="s">
        <v>559</v>
      </c>
      <c r="S3" s="25" t="s">
        <v>560</v>
      </c>
      <c r="T3" s="25" t="s">
        <v>560</v>
      </c>
      <c r="U3" s="25" t="s">
        <v>560</v>
      </c>
      <c r="V3" s="25" t="s">
        <v>560</v>
      </c>
      <c r="W3" s="25" t="s">
        <v>560</v>
      </c>
      <c r="X3" s="26" t="s">
        <v>561</v>
      </c>
      <c r="Y3" s="26" t="s">
        <v>561</v>
      </c>
      <c r="Z3" s="26" t="s">
        <v>561</v>
      </c>
      <c r="AA3" s="26" t="s">
        <v>561</v>
      </c>
      <c r="AB3" s="26" t="s">
        <v>561</v>
      </c>
      <c r="AC3" s="26" t="s">
        <v>561</v>
      </c>
      <c r="AD3" s="26" t="s">
        <v>561</v>
      </c>
      <c r="AE3" s="26" t="s">
        <v>561</v>
      </c>
      <c r="AF3" s="27" t="s">
        <v>562</v>
      </c>
      <c r="AG3" s="27" t="s">
        <v>562</v>
      </c>
      <c r="AH3" s="27" t="s">
        <v>562</v>
      </c>
      <c r="AI3" s="27" t="s">
        <v>562</v>
      </c>
      <c r="AJ3" s="27" t="s">
        <v>562</v>
      </c>
      <c r="AK3" s="27" t="s">
        <v>562</v>
      </c>
      <c r="AL3" s="28" t="s">
        <v>527</v>
      </c>
      <c r="AM3" s="28" t="s">
        <v>527</v>
      </c>
      <c r="AN3" s="28" t="s">
        <v>527</v>
      </c>
      <c r="AO3" s="28" t="s">
        <v>527</v>
      </c>
      <c r="AP3" s="28" t="s">
        <v>527</v>
      </c>
      <c r="AQ3" s="28" t="s">
        <v>527</v>
      </c>
    </row>
    <row r="4" customFormat="false" ht="42" hidden="false" customHeight="true" outlineLevel="0" collapsed="false">
      <c r="A4" s="8" t="s">
        <v>57</v>
      </c>
      <c r="B4" s="8" t="s">
        <v>58</v>
      </c>
      <c r="C4" s="29" t="s">
        <v>386</v>
      </c>
      <c r="D4" s="29" t="s">
        <v>392</v>
      </c>
      <c r="E4" s="29" t="s">
        <v>396</v>
      </c>
      <c r="F4" s="29" t="s">
        <v>400</v>
      </c>
      <c r="G4" s="29" t="s">
        <v>404</v>
      </c>
      <c r="H4" s="29" t="s">
        <v>369</v>
      </c>
      <c r="I4" s="29" t="s">
        <v>147</v>
      </c>
      <c r="J4" s="29" t="s">
        <v>414</v>
      </c>
      <c r="K4" s="29" t="s">
        <v>418</v>
      </c>
      <c r="L4" s="29" t="s">
        <v>422</v>
      </c>
      <c r="M4" s="29" t="s">
        <v>426</v>
      </c>
      <c r="N4" s="29" t="s">
        <v>364</v>
      </c>
      <c r="O4" s="29" t="s">
        <v>433</v>
      </c>
      <c r="P4" s="29" t="s">
        <v>439</v>
      </c>
      <c r="Q4" s="29" t="s">
        <v>443</v>
      </c>
      <c r="R4" s="29" t="s">
        <v>447</v>
      </c>
      <c r="S4" s="29" t="s">
        <v>451</v>
      </c>
      <c r="T4" s="29" t="s">
        <v>457</v>
      </c>
      <c r="U4" s="29" t="s">
        <v>461</v>
      </c>
      <c r="V4" s="29" t="s">
        <v>465</v>
      </c>
      <c r="W4" s="29" t="s">
        <v>469</v>
      </c>
      <c r="X4" s="29" t="s">
        <v>473</v>
      </c>
      <c r="Y4" s="29" t="s">
        <v>478</v>
      </c>
      <c r="Z4" s="29" t="s">
        <v>482</v>
      </c>
      <c r="AA4" s="29" t="s">
        <v>486</v>
      </c>
      <c r="AB4" s="29" t="s">
        <v>490</v>
      </c>
      <c r="AC4" s="29" t="s">
        <v>357</v>
      </c>
      <c r="AD4" s="29" t="s">
        <v>497</v>
      </c>
      <c r="AE4" s="29" t="s">
        <v>501</v>
      </c>
      <c r="AF4" s="29" t="s">
        <v>290</v>
      </c>
      <c r="AG4" s="29" t="s">
        <v>300</v>
      </c>
      <c r="AH4" s="29" t="s">
        <v>512</v>
      </c>
      <c r="AI4" s="29" t="s">
        <v>516</v>
      </c>
      <c r="AJ4" s="29" t="s">
        <v>318</v>
      </c>
      <c r="AK4" s="29" t="s">
        <v>522</v>
      </c>
      <c r="AL4" s="29" t="s">
        <v>526</v>
      </c>
      <c r="AM4" s="29" t="s">
        <v>249</v>
      </c>
      <c r="AN4" s="29" t="s">
        <v>534</v>
      </c>
      <c r="AO4" s="29" t="s">
        <v>268</v>
      </c>
      <c r="AP4" s="29" t="s">
        <v>165</v>
      </c>
      <c r="AQ4" s="29" t="s">
        <v>544</v>
      </c>
    </row>
    <row r="5" customFormat="false" ht="15" hidden="false" customHeight="false" outlineLevel="0" collapsed="false">
      <c r="A5" s="9" t="s">
        <v>69</v>
      </c>
      <c r="B5" s="10" t="s">
        <v>70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 t="s">
        <v>563</v>
      </c>
      <c r="P5" s="30" t="s">
        <v>563</v>
      </c>
      <c r="Q5" s="30" t="s">
        <v>563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</row>
    <row r="6" customFormat="false" ht="15" hidden="false" customHeight="false" outlineLevel="0" collapsed="false">
      <c r="A6" s="9" t="s">
        <v>77</v>
      </c>
      <c r="B6" s="10" t="s">
        <v>70</v>
      </c>
      <c r="C6" s="30" t="s">
        <v>563</v>
      </c>
      <c r="D6" s="30"/>
      <c r="E6" s="30"/>
      <c r="F6" s="30"/>
      <c r="G6" s="30"/>
      <c r="H6" s="30"/>
      <c r="I6" s="30"/>
      <c r="J6" s="30"/>
      <c r="K6" s="30" t="s">
        <v>563</v>
      </c>
      <c r="L6" s="30"/>
      <c r="M6" s="30"/>
      <c r="N6" s="30"/>
      <c r="O6" s="30"/>
      <c r="P6" s="30"/>
      <c r="Q6" s="30"/>
      <c r="R6" s="30"/>
      <c r="S6" s="30" t="s">
        <v>563</v>
      </c>
      <c r="T6" s="30"/>
      <c r="U6" s="30"/>
      <c r="V6" s="30"/>
      <c r="W6" s="30" t="s">
        <v>563</v>
      </c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</row>
    <row r="7" customFormat="false" ht="15" hidden="false" customHeight="false" outlineLevel="0" collapsed="false">
      <c r="A7" s="9" t="s">
        <v>82</v>
      </c>
      <c r="B7" s="10" t="s">
        <v>70</v>
      </c>
      <c r="C7" s="30"/>
      <c r="D7" s="30" t="s">
        <v>563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 t="s">
        <v>563</v>
      </c>
      <c r="T7" s="30"/>
      <c r="U7" s="30"/>
      <c r="V7" s="30"/>
      <c r="W7" s="30" t="s">
        <v>563</v>
      </c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</row>
    <row r="8" customFormat="false" ht="15" hidden="false" customHeight="false" outlineLevel="0" collapsed="false">
      <c r="A8" s="9" t="s">
        <v>86</v>
      </c>
      <c r="B8" s="10" t="s">
        <v>70</v>
      </c>
      <c r="C8" s="30"/>
      <c r="D8" s="30" t="s">
        <v>563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 t="s">
        <v>563</v>
      </c>
      <c r="Z8" s="30"/>
      <c r="AA8" s="30"/>
      <c r="AB8" s="30"/>
      <c r="AC8" s="30"/>
      <c r="AD8" s="30"/>
      <c r="AE8" s="30" t="s">
        <v>563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</row>
    <row r="9" customFormat="false" ht="15" hidden="false" customHeight="false" outlineLevel="0" collapsed="false">
      <c r="A9" s="9" t="s">
        <v>91</v>
      </c>
      <c r="B9" s="10" t="s">
        <v>70</v>
      </c>
      <c r="C9" s="30"/>
      <c r="D9" s="30"/>
      <c r="E9" s="30" t="s">
        <v>563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 t="s">
        <v>563</v>
      </c>
      <c r="U9" s="30"/>
      <c r="V9" s="30"/>
      <c r="W9" s="30"/>
      <c r="X9" s="30"/>
      <c r="Y9" s="30" t="s">
        <v>563</v>
      </c>
      <c r="Z9" s="30"/>
      <c r="AA9" s="30"/>
      <c r="AB9" s="30"/>
      <c r="AC9" s="30"/>
      <c r="AD9" s="30"/>
      <c r="AE9" s="30"/>
      <c r="AF9" s="30"/>
      <c r="AG9" s="30"/>
      <c r="AH9" s="30" t="s">
        <v>563</v>
      </c>
      <c r="AI9" s="30"/>
      <c r="AJ9" s="30"/>
      <c r="AK9" s="30"/>
      <c r="AL9" s="30"/>
      <c r="AM9" s="30"/>
      <c r="AN9" s="30"/>
      <c r="AO9" s="30"/>
      <c r="AP9" s="30"/>
      <c r="AQ9" s="30"/>
    </row>
    <row r="10" customFormat="false" ht="15" hidden="false" customHeight="false" outlineLevel="0" collapsed="false">
      <c r="A10" s="9" t="s">
        <v>95</v>
      </c>
      <c r="B10" s="10" t="s">
        <v>70</v>
      </c>
      <c r="C10" s="30"/>
      <c r="D10" s="30"/>
      <c r="E10" s="30"/>
      <c r="F10" s="30" t="s">
        <v>563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 t="s">
        <v>563</v>
      </c>
      <c r="V10" s="30"/>
      <c r="W10" s="30"/>
      <c r="X10" s="30"/>
      <c r="Y10" s="30"/>
      <c r="Z10" s="30" t="s">
        <v>563</v>
      </c>
      <c r="AA10" s="30"/>
      <c r="AB10" s="30"/>
      <c r="AC10" s="30"/>
      <c r="AD10" s="30"/>
      <c r="AE10" s="30"/>
      <c r="AF10" s="30"/>
      <c r="AG10" s="30"/>
      <c r="AH10" s="30" t="s">
        <v>563</v>
      </c>
      <c r="AI10" s="30"/>
      <c r="AJ10" s="30"/>
      <c r="AK10" s="30"/>
      <c r="AL10" s="30"/>
      <c r="AM10" s="30"/>
      <c r="AN10" s="30"/>
      <c r="AO10" s="30"/>
      <c r="AP10" s="30"/>
      <c r="AQ10" s="30"/>
    </row>
    <row r="11" customFormat="false" ht="15" hidden="false" customHeight="false" outlineLevel="0" collapsed="false">
      <c r="A11" s="9" t="s">
        <v>100</v>
      </c>
      <c r="B11" s="10" t="s">
        <v>70</v>
      </c>
      <c r="C11" s="30"/>
      <c r="D11" s="30" t="s">
        <v>563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 t="s">
        <v>563</v>
      </c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</row>
    <row r="12" customFormat="false" ht="15" hidden="false" customHeight="false" outlineLevel="0" collapsed="false">
      <c r="A12" s="9" t="s">
        <v>104</v>
      </c>
      <c r="B12" s="10" t="s">
        <v>70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 t="s">
        <v>563</v>
      </c>
      <c r="AA12" s="30" t="s">
        <v>563</v>
      </c>
      <c r="AB12" s="30"/>
      <c r="AC12" s="30"/>
      <c r="AD12" s="30"/>
      <c r="AE12" s="30"/>
      <c r="AF12" s="30" t="s">
        <v>563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</row>
    <row r="13" customFormat="false" ht="15" hidden="false" customHeight="false" outlineLevel="0" collapsed="false">
      <c r="A13" s="9" t="s">
        <v>109</v>
      </c>
      <c r="B13" s="10" t="s">
        <v>70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 t="s">
        <v>563</v>
      </c>
      <c r="AA13" s="30"/>
      <c r="AB13" s="30"/>
      <c r="AC13" s="30"/>
      <c r="AD13" s="30"/>
      <c r="AE13" s="30"/>
      <c r="AF13" s="30"/>
      <c r="AG13" s="30"/>
      <c r="AH13" s="30"/>
      <c r="AI13" s="30" t="s">
        <v>563</v>
      </c>
      <c r="AJ13" s="30" t="s">
        <v>563</v>
      </c>
      <c r="AK13" s="30"/>
      <c r="AL13" s="30"/>
      <c r="AM13" s="30"/>
      <c r="AN13" s="30"/>
      <c r="AO13" s="30"/>
      <c r="AP13" s="30"/>
      <c r="AQ13" s="30"/>
    </row>
    <row r="14" customFormat="false" ht="15" hidden="false" customHeight="false" outlineLevel="0" collapsed="false">
      <c r="A14" s="9" t="s">
        <v>113</v>
      </c>
      <c r="B14" s="10" t="s">
        <v>70</v>
      </c>
      <c r="C14" s="30"/>
      <c r="D14" s="30"/>
      <c r="E14" s="30"/>
      <c r="F14" s="30" t="s">
        <v>563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 t="s">
        <v>563</v>
      </c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 t="s">
        <v>563</v>
      </c>
      <c r="AK14" s="30"/>
      <c r="AL14" s="30"/>
      <c r="AM14" s="30"/>
      <c r="AN14" s="30"/>
      <c r="AO14" s="30"/>
      <c r="AP14" s="30"/>
      <c r="AQ14" s="30"/>
    </row>
    <row r="15" customFormat="false" ht="15" hidden="false" customHeight="false" outlineLevel="0" collapsed="false">
      <c r="A15" s="9" t="s">
        <v>117</v>
      </c>
      <c r="B15" s="10" t="s">
        <v>70</v>
      </c>
      <c r="C15" s="30"/>
      <c r="D15" s="30"/>
      <c r="E15" s="30"/>
      <c r="F15" s="30" t="s">
        <v>563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 t="s">
        <v>563</v>
      </c>
      <c r="AH15" s="30"/>
      <c r="AI15" s="30"/>
      <c r="AJ15" s="30"/>
      <c r="AK15" s="30" t="s">
        <v>563</v>
      </c>
      <c r="AL15" s="30"/>
      <c r="AM15" s="30"/>
      <c r="AN15" s="30"/>
      <c r="AO15" s="30"/>
      <c r="AP15" s="30"/>
      <c r="AQ15" s="30"/>
    </row>
    <row r="16" customFormat="false" ht="15" hidden="false" customHeight="false" outlineLevel="0" collapsed="false">
      <c r="A16" s="9" t="s">
        <v>122</v>
      </c>
      <c r="B16" s="10" t="s">
        <v>70</v>
      </c>
      <c r="C16" s="30"/>
      <c r="D16" s="30"/>
      <c r="E16" s="30"/>
      <c r="F16" s="30" t="s">
        <v>563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 t="s">
        <v>563</v>
      </c>
      <c r="AA16" s="30"/>
      <c r="AB16" s="30"/>
      <c r="AC16" s="30"/>
      <c r="AD16" s="30" t="s">
        <v>563</v>
      </c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</row>
    <row r="17" customFormat="false" ht="15" hidden="false" customHeight="false" outlineLevel="0" collapsed="false">
      <c r="A17" s="9" t="s">
        <v>126</v>
      </c>
      <c r="B17" s="10" t="s">
        <v>70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 t="s">
        <v>563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 t="s">
        <v>563</v>
      </c>
      <c r="AQ17" s="30"/>
    </row>
    <row r="18" customFormat="false" ht="15" hidden="false" customHeight="false" outlineLevel="0" collapsed="false">
      <c r="A18" s="9" t="s">
        <v>130</v>
      </c>
      <c r="B18" s="10" t="s">
        <v>70</v>
      </c>
      <c r="C18" s="30"/>
      <c r="D18" s="30"/>
      <c r="E18" s="30"/>
      <c r="F18" s="30"/>
      <c r="G18" s="30"/>
      <c r="H18" s="30" t="s">
        <v>563</v>
      </c>
      <c r="I18" s="30"/>
      <c r="J18" s="30"/>
      <c r="K18" s="30"/>
      <c r="L18" s="30"/>
      <c r="M18" s="30"/>
      <c r="N18" s="30"/>
      <c r="O18" s="30"/>
      <c r="P18" s="30"/>
      <c r="Q18" s="30" t="s">
        <v>563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</row>
    <row r="19" customFormat="false" ht="15" hidden="false" customHeight="false" outlineLevel="0" collapsed="false">
      <c r="A19" s="9" t="s">
        <v>134</v>
      </c>
      <c r="B19" s="10" t="s">
        <v>70</v>
      </c>
      <c r="C19" s="30"/>
      <c r="D19" s="30"/>
      <c r="E19" s="30"/>
      <c r="F19" s="30"/>
      <c r="G19" s="30" t="s">
        <v>563</v>
      </c>
      <c r="H19" s="30"/>
      <c r="I19" s="30"/>
      <c r="J19" s="30"/>
      <c r="K19" s="30"/>
      <c r="L19" s="30"/>
      <c r="M19" s="30"/>
      <c r="N19" s="30"/>
      <c r="O19" s="30"/>
      <c r="P19" s="30" t="s">
        <v>563</v>
      </c>
      <c r="Q19" s="30"/>
      <c r="R19" s="30"/>
      <c r="S19" s="30"/>
      <c r="T19" s="30"/>
      <c r="U19" s="30"/>
      <c r="V19" s="30"/>
      <c r="W19" s="30"/>
      <c r="X19" s="30" t="s">
        <v>563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</row>
    <row r="20" customFormat="false" ht="15" hidden="false" customHeight="false" outlineLevel="0" collapsed="false">
      <c r="A20" s="9" t="s">
        <v>139</v>
      </c>
      <c r="B20" s="10" t="s">
        <v>70</v>
      </c>
      <c r="C20" s="30"/>
      <c r="D20" s="30"/>
      <c r="E20" s="30"/>
      <c r="F20" s="30"/>
      <c r="G20" s="30"/>
      <c r="H20" s="30"/>
      <c r="I20" s="30"/>
      <c r="J20" s="30" t="s">
        <v>563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 t="s">
        <v>563</v>
      </c>
      <c r="AI20" s="30" t="s">
        <v>563</v>
      </c>
      <c r="AJ20" s="30"/>
      <c r="AK20" s="30"/>
      <c r="AL20" s="30"/>
      <c r="AM20" s="30"/>
      <c r="AN20" s="30"/>
      <c r="AO20" s="30"/>
      <c r="AP20" s="30"/>
      <c r="AQ20" s="30"/>
    </row>
    <row r="21" customFormat="false" ht="15" hidden="false" customHeight="false" outlineLevel="0" collapsed="false">
      <c r="A21" s="9" t="s">
        <v>144</v>
      </c>
      <c r="B21" s="10" t="s">
        <v>70</v>
      </c>
      <c r="C21" s="30"/>
      <c r="D21" s="30"/>
      <c r="E21" s="30"/>
      <c r="F21" s="30"/>
      <c r="G21" s="30"/>
      <c r="H21" s="30"/>
      <c r="I21" s="30" t="s">
        <v>563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</row>
    <row r="22" customFormat="false" ht="15" hidden="false" customHeight="false" outlineLevel="0" collapsed="false">
      <c r="A22" s="9" t="s">
        <v>148</v>
      </c>
      <c r="B22" s="10" t="s">
        <v>70</v>
      </c>
      <c r="C22" s="30"/>
      <c r="D22" s="30"/>
      <c r="E22" s="30"/>
      <c r="F22" s="30" t="s">
        <v>563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 t="s">
        <v>563</v>
      </c>
      <c r="AH22" s="30"/>
      <c r="AI22" s="30"/>
      <c r="AJ22" s="30"/>
      <c r="AK22" s="30" t="s">
        <v>563</v>
      </c>
      <c r="AL22" s="30"/>
      <c r="AM22" s="30"/>
      <c r="AN22" s="30"/>
      <c r="AO22" s="30"/>
      <c r="AP22" s="30"/>
      <c r="AQ22" s="30"/>
    </row>
    <row r="23" customFormat="false" ht="15" hidden="false" customHeight="false" outlineLevel="0" collapsed="false">
      <c r="A23" s="9" t="s">
        <v>153</v>
      </c>
      <c r="B23" s="10" t="s">
        <v>70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 t="s">
        <v>563</v>
      </c>
      <c r="N23" s="30"/>
      <c r="O23" s="30"/>
      <c r="P23" s="30"/>
      <c r="Q23" s="30"/>
      <c r="R23" s="30" t="s">
        <v>563</v>
      </c>
      <c r="S23" s="30"/>
      <c r="T23" s="30"/>
      <c r="U23" s="30"/>
      <c r="V23" s="30"/>
      <c r="W23" s="30"/>
      <c r="X23" s="30"/>
      <c r="Y23" s="30"/>
      <c r="Z23" s="30" t="s">
        <v>563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</row>
    <row r="24" customFormat="false" ht="15" hidden="false" customHeight="false" outlineLevel="0" collapsed="false">
      <c r="A24" s="9" t="s">
        <v>157</v>
      </c>
      <c r="B24" s="10" t="s">
        <v>70</v>
      </c>
      <c r="C24" s="30"/>
      <c r="D24" s="30"/>
      <c r="E24" s="30"/>
      <c r="F24" s="30"/>
      <c r="G24" s="30"/>
      <c r="H24" s="30"/>
      <c r="I24" s="30"/>
      <c r="J24" s="30" t="s">
        <v>563</v>
      </c>
      <c r="K24" s="30"/>
      <c r="L24" s="30"/>
      <c r="M24" s="30"/>
      <c r="N24" s="30"/>
      <c r="O24" s="30"/>
      <c r="P24" s="30" t="s">
        <v>563</v>
      </c>
      <c r="Q24" s="30"/>
      <c r="R24" s="30" t="s">
        <v>563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</row>
    <row r="25" customFormat="false" ht="15" hidden="false" customHeight="false" outlineLevel="0" collapsed="false">
      <c r="A25" s="9" t="s">
        <v>161</v>
      </c>
      <c r="B25" s="10" t="s">
        <v>70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 t="s">
        <v>563</v>
      </c>
      <c r="AQ25" s="30"/>
    </row>
    <row r="26" customFormat="false" ht="15" hidden="false" customHeight="false" outlineLevel="0" collapsed="false">
      <c r="A26" s="9" t="s">
        <v>166</v>
      </c>
      <c r="B26" s="10" t="s">
        <v>70</v>
      </c>
      <c r="C26" s="30"/>
      <c r="D26" s="30"/>
      <c r="E26" s="30"/>
      <c r="F26" s="30"/>
      <c r="G26" s="30"/>
      <c r="H26" s="30"/>
      <c r="I26" s="30" t="s">
        <v>563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 t="s">
        <v>563</v>
      </c>
      <c r="AQ26" s="30"/>
    </row>
    <row r="27" customFormat="false" ht="15" hidden="false" customHeight="false" outlineLevel="0" collapsed="false">
      <c r="A27" s="9" t="s">
        <v>170</v>
      </c>
      <c r="B27" s="10" t="s">
        <v>70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 t="s">
        <v>563</v>
      </c>
      <c r="AA27" s="30"/>
      <c r="AB27" s="30"/>
      <c r="AC27" s="30"/>
      <c r="AD27" s="30" t="s">
        <v>563</v>
      </c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 t="s">
        <v>563</v>
      </c>
      <c r="AQ27" s="30"/>
    </row>
    <row r="28" customFormat="false" ht="15" hidden="false" customHeight="false" outlineLevel="0" collapsed="false">
      <c r="A28" s="9" t="s">
        <v>175</v>
      </c>
      <c r="B28" s="10" t="s">
        <v>70</v>
      </c>
      <c r="C28" s="30"/>
      <c r="D28" s="30"/>
      <c r="E28" s="30"/>
      <c r="F28" s="30"/>
      <c r="G28" s="30"/>
      <c r="H28" s="30"/>
      <c r="I28" s="30"/>
      <c r="J28" s="30"/>
      <c r="K28" s="30"/>
      <c r="L28" s="30" t="s">
        <v>563</v>
      </c>
      <c r="M28" s="30"/>
      <c r="N28" s="30"/>
      <c r="O28" s="30"/>
      <c r="P28" s="30"/>
      <c r="Q28" s="30"/>
      <c r="R28" s="30"/>
      <c r="S28" s="30" t="s">
        <v>563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</row>
    <row r="29" customFormat="false" ht="15" hidden="false" customHeight="false" outlineLevel="0" collapsed="false">
      <c r="A29" s="13" t="s">
        <v>179</v>
      </c>
      <c r="B29" s="14" t="s">
        <v>180</v>
      </c>
      <c r="C29" s="30"/>
      <c r="D29" s="30" t="s">
        <v>563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 t="s">
        <v>563</v>
      </c>
      <c r="Q29" s="30"/>
      <c r="R29" s="30"/>
      <c r="S29" s="30"/>
      <c r="T29" s="30"/>
      <c r="U29" s="30"/>
      <c r="V29" s="30"/>
      <c r="W29" s="30"/>
      <c r="X29" s="30"/>
      <c r="Y29" s="30" t="s">
        <v>563</v>
      </c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</row>
    <row r="30" customFormat="false" ht="15" hidden="false" customHeight="false" outlineLevel="0" collapsed="false">
      <c r="A30" s="13" t="s">
        <v>186</v>
      </c>
      <c r="B30" s="14" t="s">
        <v>180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 t="s">
        <v>563</v>
      </c>
      <c r="X30" s="30"/>
      <c r="Y30" s="30" t="s">
        <v>563</v>
      </c>
      <c r="Z30" s="30" t="s">
        <v>563</v>
      </c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</row>
    <row r="31" customFormat="false" ht="15" hidden="false" customHeight="false" outlineLevel="0" collapsed="false">
      <c r="A31" s="13" t="s">
        <v>190</v>
      </c>
      <c r="B31" s="14" t="s">
        <v>180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 t="s">
        <v>563</v>
      </c>
      <c r="Z31" s="30" t="s">
        <v>563</v>
      </c>
      <c r="AA31" s="30"/>
      <c r="AB31" s="30"/>
      <c r="AC31" s="30"/>
      <c r="AD31" s="30"/>
      <c r="AE31" s="30"/>
      <c r="AF31" s="30"/>
      <c r="AG31" s="30"/>
      <c r="AH31" s="30" t="s">
        <v>563</v>
      </c>
      <c r="AI31" s="30"/>
      <c r="AJ31" s="30"/>
      <c r="AK31" s="30"/>
      <c r="AL31" s="30"/>
      <c r="AM31" s="30"/>
      <c r="AN31" s="30"/>
      <c r="AO31" s="30"/>
      <c r="AP31" s="30"/>
      <c r="AQ31" s="30"/>
    </row>
    <row r="32" customFormat="false" ht="15" hidden="false" customHeight="false" outlineLevel="0" collapsed="false">
      <c r="A32" s="13" t="s">
        <v>195</v>
      </c>
      <c r="B32" s="14" t="s">
        <v>180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 t="s">
        <v>563</v>
      </c>
      <c r="AA32" s="30"/>
      <c r="AB32" s="30"/>
      <c r="AC32" s="30"/>
      <c r="AD32" s="30"/>
      <c r="AE32" s="30"/>
      <c r="AF32" s="30"/>
      <c r="AG32" s="30"/>
      <c r="AH32" s="30"/>
      <c r="AI32" s="30" t="s">
        <v>563</v>
      </c>
      <c r="AJ32" s="30"/>
      <c r="AK32" s="30"/>
      <c r="AL32" s="30"/>
      <c r="AM32" s="30"/>
      <c r="AN32" s="30"/>
      <c r="AO32" s="30"/>
      <c r="AP32" s="30"/>
      <c r="AQ32" s="30"/>
    </row>
    <row r="33" customFormat="false" ht="15" hidden="false" customHeight="false" outlineLevel="0" collapsed="false">
      <c r="A33" s="13" t="s">
        <v>199</v>
      </c>
      <c r="B33" s="14" t="s">
        <v>180</v>
      </c>
      <c r="C33" s="30"/>
      <c r="D33" s="30"/>
      <c r="E33" s="30"/>
      <c r="F33" s="30"/>
      <c r="G33" s="30" t="s">
        <v>563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 t="s">
        <v>563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</row>
    <row r="34" customFormat="false" ht="15" hidden="false" customHeight="false" outlineLevel="0" collapsed="false">
      <c r="A34" s="13" t="s">
        <v>204</v>
      </c>
      <c r="B34" s="14" t="s">
        <v>180</v>
      </c>
      <c r="C34" s="30"/>
      <c r="D34" s="30"/>
      <c r="E34" s="30"/>
      <c r="F34" s="30"/>
      <c r="G34" s="30" t="s">
        <v>563</v>
      </c>
      <c r="H34" s="30"/>
      <c r="I34" s="30"/>
      <c r="J34" s="30"/>
      <c r="K34" s="30"/>
      <c r="L34" s="30"/>
      <c r="M34" s="30"/>
      <c r="N34" s="30"/>
      <c r="O34" s="30"/>
      <c r="P34" s="30" t="s">
        <v>563</v>
      </c>
      <c r="Q34" s="30"/>
      <c r="R34" s="30"/>
      <c r="S34" s="30"/>
      <c r="T34" s="30"/>
      <c r="U34" s="30"/>
      <c r="V34" s="30"/>
      <c r="W34" s="30"/>
      <c r="X34" s="30"/>
      <c r="Y34" s="30" t="s">
        <v>563</v>
      </c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</row>
    <row r="35" customFormat="false" ht="15" hidden="false" customHeight="false" outlineLevel="0" collapsed="false">
      <c r="A35" s="13" t="s">
        <v>209</v>
      </c>
      <c r="B35" s="14" t="s">
        <v>180</v>
      </c>
      <c r="C35" s="30"/>
      <c r="D35" s="30"/>
      <c r="E35" s="30"/>
      <c r="F35" s="30" t="s">
        <v>563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 t="s">
        <v>563</v>
      </c>
      <c r="AA35" s="30"/>
      <c r="AB35" s="30"/>
      <c r="AC35" s="30"/>
      <c r="AD35" s="30"/>
      <c r="AE35" s="30"/>
      <c r="AF35" s="30"/>
      <c r="AG35" s="30"/>
      <c r="AH35" s="30"/>
      <c r="AI35" s="30" t="s">
        <v>563</v>
      </c>
      <c r="AJ35" s="30"/>
      <c r="AK35" s="30"/>
      <c r="AL35" s="30"/>
      <c r="AM35" s="30"/>
      <c r="AN35" s="30"/>
      <c r="AO35" s="30"/>
      <c r="AP35" s="30"/>
      <c r="AQ35" s="30"/>
    </row>
    <row r="36" customFormat="false" ht="15" hidden="false" customHeight="false" outlineLevel="0" collapsed="false">
      <c r="A36" s="13" t="s">
        <v>213</v>
      </c>
      <c r="B36" s="14" t="s">
        <v>180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 t="s">
        <v>563</v>
      </c>
      <c r="Q36" s="30"/>
      <c r="R36" s="30" t="s">
        <v>563</v>
      </c>
      <c r="S36" s="30"/>
      <c r="T36" s="30"/>
      <c r="U36" s="30"/>
      <c r="V36" s="30"/>
      <c r="W36" s="30"/>
      <c r="X36" s="30"/>
      <c r="Y36" s="30"/>
      <c r="Z36" s="30" t="s">
        <v>563</v>
      </c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</row>
    <row r="37" customFormat="false" ht="15" hidden="false" customHeight="false" outlineLevel="0" collapsed="false">
      <c r="A37" s="13" t="s">
        <v>218</v>
      </c>
      <c r="B37" s="14" t="s">
        <v>180</v>
      </c>
      <c r="C37" s="30"/>
      <c r="D37" s="30"/>
      <c r="E37" s="30"/>
      <c r="F37" s="30"/>
      <c r="G37" s="30" t="s">
        <v>563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 t="s">
        <v>563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</row>
    <row r="38" customFormat="false" ht="15" hidden="false" customHeight="false" outlineLevel="0" collapsed="false">
      <c r="A38" s="13" t="s">
        <v>223</v>
      </c>
      <c r="B38" s="14" t="s">
        <v>180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 t="s">
        <v>563</v>
      </c>
      <c r="AI38" s="30"/>
      <c r="AJ38" s="30"/>
      <c r="AK38" s="30"/>
      <c r="AL38" s="30"/>
      <c r="AM38" s="30"/>
      <c r="AN38" s="30"/>
      <c r="AO38" s="30"/>
      <c r="AP38" s="30"/>
      <c r="AQ38" s="30" t="s">
        <v>563</v>
      </c>
    </row>
    <row r="39" customFormat="false" ht="15" hidden="false" customHeight="false" outlineLevel="0" collapsed="false">
      <c r="A39" s="15" t="s">
        <v>228</v>
      </c>
      <c r="B39" s="16" t="s">
        <v>229</v>
      </c>
      <c r="C39" s="30" t="s">
        <v>563</v>
      </c>
      <c r="D39" s="30"/>
      <c r="E39" s="30"/>
      <c r="F39" s="30" t="s">
        <v>563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 t="s">
        <v>563</v>
      </c>
      <c r="AP39" s="30"/>
      <c r="AQ39" s="30"/>
    </row>
    <row r="40" customFormat="false" ht="15" hidden="false" customHeight="false" outlineLevel="0" collapsed="false">
      <c r="A40" s="15" t="s">
        <v>235</v>
      </c>
      <c r="B40" s="16" t="s">
        <v>229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 t="s">
        <v>563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 t="s">
        <v>563</v>
      </c>
      <c r="AA40" s="30"/>
      <c r="AB40" s="30"/>
      <c r="AC40" s="30"/>
      <c r="AD40" s="30"/>
      <c r="AE40" s="30"/>
      <c r="AF40" s="30" t="s">
        <v>563</v>
      </c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</row>
    <row r="41" customFormat="false" ht="15" hidden="false" customHeight="false" outlineLevel="0" collapsed="false">
      <c r="A41" s="15" t="s">
        <v>240</v>
      </c>
      <c r="B41" s="16" t="s">
        <v>229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 t="s">
        <v>563</v>
      </c>
      <c r="P41" s="30" t="s">
        <v>563</v>
      </c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 t="s">
        <v>563</v>
      </c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</row>
    <row r="42" customFormat="false" ht="15" hidden="false" customHeight="false" outlineLevel="0" collapsed="false">
      <c r="A42" s="15" t="s">
        <v>245</v>
      </c>
      <c r="B42" s="16" t="s">
        <v>229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 t="s">
        <v>563</v>
      </c>
      <c r="AN42" s="30"/>
      <c r="AO42" s="30"/>
      <c r="AP42" s="30"/>
      <c r="AQ42" s="30"/>
    </row>
    <row r="43" customFormat="false" ht="15" hidden="false" customHeight="false" outlineLevel="0" collapsed="false">
      <c r="A43" s="15" t="s">
        <v>250</v>
      </c>
      <c r="B43" s="16" t="s">
        <v>229</v>
      </c>
      <c r="C43" s="30"/>
      <c r="D43" s="30" t="s">
        <v>563</v>
      </c>
      <c r="E43" s="30"/>
      <c r="F43" s="30" t="s">
        <v>563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 t="s">
        <v>563</v>
      </c>
      <c r="AM43" s="30"/>
      <c r="AN43" s="30"/>
      <c r="AO43" s="30"/>
      <c r="AP43" s="30"/>
      <c r="AQ43" s="30"/>
    </row>
    <row r="44" customFormat="false" ht="15" hidden="false" customHeight="false" outlineLevel="0" collapsed="false">
      <c r="A44" s="15" t="s">
        <v>255</v>
      </c>
      <c r="B44" s="16" t="s">
        <v>229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 t="s">
        <v>563</v>
      </c>
      <c r="AN44" s="30"/>
      <c r="AO44" s="30"/>
      <c r="AP44" s="30"/>
      <c r="AQ44" s="30"/>
    </row>
    <row r="45" customFormat="false" ht="15" hidden="false" customHeight="false" outlineLevel="0" collapsed="false">
      <c r="A45" s="15" t="s">
        <v>259</v>
      </c>
      <c r="B45" s="16" t="s">
        <v>229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 t="s">
        <v>563</v>
      </c>
      <c r="T45" s="30"/>
      <c r="U45" s="30"/>
      <c r="V45" s="30"/>
      <c r="W45" s="30"/>
      <c r="X45" s="30"/>
      <c r="Y45" s="30"/>
      <c r="Z45" s="30"/>
      <c r="AA45" s="30"/>
      <c r="AB45" s="30"/>
      <c r="AC45" s="30" t="s">
        <v>563</v>
      </c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</row>
    <row r="46" customFormat="false" ht="15" hidden="false" customHeight="false" outlineLevel="0" collapsed="false">
      <c r="A46" s="15" t="s">
        <v>264</v>
      </c>
      <c r="B46" s="16" t="s">
        <v>229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 t="s">
        <v>563</v>
      </c>
      <c r="AP46" s="30"/>
      <c r="AQ46" s="30"/>
    </row>
    <row r="47" customFormat="false" ht="15" hidden="false" customHeight="false" outlineLevel="0" collapsed="false">
      <c r="A47" s="15" t="s">
        <v>269</v>
      </c>
      <c r="B47" s="16" t="s">
        <v>229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 t="s">
        <v>563</v>
      </c>
      <c r="T47" s="30" t="s">
        <v>563</v>
      </c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 t="s">
        <v>563</v>
      </c>
      <c r="AM47" s="30"/>
      <c r="AN47" s="30"/>
      <c r="AO47" s="30"/>
      <c r="AP47" s="30"/>
      <c r="AQ47" s="30"/>
    </row>
    <row r="48" customFormat="false" ht="15" hidden="false" customHeight="false" outlineLevel="0" collapsed="false">
      <c r="A48" s="15" t="s">
        <v>274</v>
      </c>
      <c r="B48" s="16" t="s">
        <v>229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 t="s">
        <v>563</v>
      </c>
      <c r="AG48" s="30"/>
      <c r="AH48" s="30" t="s">
        <v>563</v>
      </c>
      <c r="AI48" s="30"/>
      <c r="AJ48" s="30"/>
      <c r="AK48" s="30" t="s">
        <v>563</v>
      </c>
      <c r="AL48" s="30"/>
      <c r="AM48" s="30"/>
      <c r="AN48" s="30"/>
      <c r="AO48" s="30"/>
      <c r="AP48" s="30"/>
      <c r="AQ48" s="30"/>
    </row>
    <row r="49" customFormat="false" ht="15" hidden="false" customHeight="false" outlineLevel="0" collapsed="false">
      <c r="A49" s="15" t="s">
        <v>279</v>
      </c>
      <c r="B49" s="16" t="s">
        <v>229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 t="s">
        <v>563</v>
      </c>
      <c r="AK49" s="30"/>
      <c r="AL49" s="30"/>
      <c r="AM49" s="30"/>
      <c r="AN49" s="30" t="s">
        <v>563</v>
      </c>
      <c r="AO49" s="30"/>
      <c r="AP49" s="30"/>
      <c r="AQ49" s="30"/>
    </row>
    <row r="50" customFormat="false" ht="15" hidden="false" customHeight="false" outlineLevel="0" collapsed="false">
      <c r="A50" s="17" t="s">
        <v>284</v>
      </c>
      <c r="B50" s="18" t="s">
        <v>285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 t="s">
        <v>563</v>
      </c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</row>
    <row r="51" customFormat="false" ht="15" hidden="false" customHeight="false" outlineLevel="0" collapsed="false">
      <c r="A51" s="17" t="s">
        <v>291</v>
      </c>
      <c r="B51" s="18" t="s">
        <v>285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 t="s">
        <v>563</v>
      </c>
      <c r="AH51" s="30"/>
      <c r="AI51" s="30"/>
      <c r="AJ51" s="30"/>
      <c r="AK51" s="30" t="s">
        <v>563</v>
      </c>
      <c r="AL51" s="30"/>
      <c r="AM51" s="30"/>
      <c r="AN51" s="30"/>
      <c r="AO51" s="30"/>
      <c r="AP51" s="30"/>
      <c r="AQ51" s="30"/>
    </row>
    <row r="52" customFormat="false" ht="15" hidden="false" customHeight="false" outlineLevel="0" collapsed="false">
      <c r="A52" s="17" t="s">
        <v>296</v>
      </c>
      <c r="B52" s="18" t="s">
        <v>285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 t="s">
        <v>563</v>
      </c>
      <c r="AH52" s="30"/>
      <c r="AI52" s="30"/>
      <c r="AJ52" s="30"/>
      <c r="AK52" s="30"/>
      <c r="AL52" s="30"/>
      <c r="AM52" s="30"/>
      <c r="AN52" s="30"/>
      <c r="AO52" s="30"/>
      <c r="AP52" s="30"/>
      <c r="AQ52" s="30"/>
    </row>
    <row r="53" customFormat="false" ht="15" hidden="false" customHeight="false" outlineLevel="0" collapsed="false">
      <c r="A53" s="17" t="s">
        <v>301</v>
      </c>
      <c r="B53" s="18" t="s">
        <v>285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 t="s">
        <v>563</v>
      </c>
      <c r="AI53" s="30"/>
      <c r="AJ53" s="30"/>
      <c r="AK53" s="30"/>
      <c r="AL53" s="30"/>
      <c r="AM53" s="30"/>
      <c r="AN53" s="30"/>
      <c r="AO53" s="30"/>
      <c r="AP53" s="30"/>
      <c r="AQ53" s="30" t="s">
        <v>563</v>
      </c>
    </row>
    <row r="54" customFormat="false" ht="15" hidden="false" customHeight="false" outlineLevel="0" collapsed="false">
      <c r="A54" s="17" t="s">
        <v>306</v>
      </c>
      <c r="B54" s="18" t="s">
        <v>285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 t="s">
        <v>563</v>
      </c>
      <c r="T54" s="30"/>
      <c r="U54" s="30"/>
      <c r="V54" s="30"/>
      <c r="W54" s="30"/>
      <c r="X54" s="30"/>
      <c r="Y54" s="30"/>
      <c r="Z54" s="30"/>
      <c r="AA54" s="30"/>
      <c r="AB54" s="30" t="s">
        <v>563</v>
      </c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</row>
    <row r="55" customFormat="false" ht="15" hidden="false" customHeight="false" outlineLevel="0" collapsed="false">
      <c r="A55" s="17" t="s">
        <v>311</v>
      </c>
      <c r="B55" s="18" t="s">
        <v>285</v>
      </c>
      <c r="C55" s="30"/>
      <c r="D55" s="30"/>
      <c r="E55" s="30"/>
      <c r="F55" s="30"/>
      <c r="G55" s="30"/>
      <c r="H55" s="30"/>
      <c r="I55" s="30" t="s">
        <v>563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</row>
    <row r="56" customFormat="false" ht="15" hidden="false" customHeight="false" outlineLevel="0" collapsed="false">
      <c r="A56" s="17" t="s">
        <v>315</v>
      </c>
      <c r="B56" s="18" t="s">
        <v>285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 t="s">
        <v>563</v>
      </c>
      <c r="AK56" s="30"/>
      <c r="AL56" s="30"/>
      <c r="AM56" s="30"/>
      <c r="AN56" s="30"/>
      <c r="AO56" s="30"/>
      <c r="AP56" s="30"/>
      <c r="AQ56" s="30"/>
    </row>
    <row r="57" customFormat="false" ht="23.85" hidden="false" customHeight="false" outlineLevel="0" collapsed="false">
      <c r="A57" s="19" t="s">
        <v>319</v>
      </c>
      <c r="B57" s="20" t="s">
        <v>320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 t="s">
        <v>563</v>
      </c>
      <c r="Z57" s="30" t="s">
        <v>563</v>
      </c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</row>
    <row r="58" customFormat="false" ht="23.85" hidden="false" customHeight="false" outlineLevel="0" collapsed="false">
      <c r="A58" s="19" t="s">
        <v>326</v>
      </c>
      <c r="B58" s="20" t="s">
        <v>320</v>
      </c>
      <c r="C58" s="30"/>
      <c r="D58" s="30"/>
      <c r="E58" s="30"/>
      <c r="F58" s="30"/>
      <c r="G58" s="30"/>
      <c r="H58" s="30"/>
      <c r="I58" s="30"/>
      <c r="J58" s="30"/>
      <c r="K58" s="30" t="s">
        <v>563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 t="s">
        <v>563</v>
      </c>
      <c r="X58" s="30"/>
      <c r="Y58" s="30" t="s">
        <v>563</v>
      </c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</row>
    <row r="59" customFormat="false" ht="23.85" hidden="false" customHeight="false" outlineLevel="0" collapsed="false">
      <c r="A59" s="19" t="s">
        <v>330</v>
      </c>
      <c r="B59" s="20" t="s">
        <v>320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 t="s">
        <v>563</v>
      </c>
      <c r="AA59" s="30" t="s">
        <v>563</v>
      </c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</row>
    <row r="60" customFormat="false" ht="23.85" hidden="false" customHeight="false" outlineLevel="0" collapsed="false">
      <c r="A60" s="19" t="s">
        <v>335</v>
      </c>
      <c r="B60" s="20" t="s">
        <v>320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 t="s">
        <v>563</v>
      </c>
      <c r="S60" s="30"/>
      <c r="T60" s="30"/>
      <c r="U60" s="30"/>
      <c r="V60" s="30"/>
      <c r="W60" s="30"/>
      <c r="X60" s="30"/>
      <c r="Y60" s="30"/>
      <c r="Z60" s="30" t="s">
        <v>563</v>
      </c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</row>
    <row r="61" customFormat="false" ht="23.85" hidden="false" customHeight="false" outlineLevel="0" collapsed="false">
      <c r="A61" s="19" t="s">
        <v>339</v>
      </c>
      <c r="B61" s="20" t="s">
        <v>320</v>
      </c>
      <c r="C61" s="30"/>
      <c r="D61" s="30"/>
      <c r="E61" s="30"/>
      <c r="F61" s="30" t="s">
        <v>563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 t="s">
        <v>563</v>
      </c>
      <c r="AL61" s="30"/>
      <c r="AM61" s="30"/>
      <c r="AN61" s="30"/>
      <c r="AO61" s="30"/>
      <c r="AP61" s="30"/>
      <c r="AQ61" s="30"/>
    </row>
    <row r="62" customFormat="false" ht="23.85" hidden="false" customHeight="false" outlineLevel="0" collapsed="false">
      <c r="A62" s="19" t="s">
        <v>343</v>
      </c>
      <c r="B62" s="20" t="s">
        <v>320</v>
      </c>
      <c r="C62" s="30"/>
      <c r="D62" s="30"/>
      <c r="E62" s="30"/>
      <c r="F62" s="30" t="s">
        <v>563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 t="s">
        <v>563</v>
      </c>
      <c r="AH62" s="30"/>
      <c r="AI62" s="30"/>
      <c r="AJ62" s="30"/>
      <c r="AK62" s="30"/>
      <c r="AL62" s="30"/>
      <c r="AM62" s="30"/>
      <c r="AN62" s="30"/>
      <c r="AO62" s="30"/>
      <c r="AP62" s="30"/>
      <c r="AQ62" s="30"/>
    </row>
    <row r="63" customFormat="false" ht="23.85" hidden="false" customHeight="false" outlineLevel="0" collapsed="false">
      <c r="A63" s="19" t="s">
        <v>347</v>
      </c>
      <c r="B63" s="20" t="s">
        <v>320</v>
      </c>
      <c r="C63" s="30"/>
      <c r="D63" s="30"/>
      <c r="E63" s="30"/>
      <c r="F63" s="30"/>
      <c r="G63" s="30" t="s">
        <v>563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 t="s">
        <v>563</v>
      </c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</row>
    <row r="64" customFormat="false" ht="23.85" hidden="false" customHeight="false" outlineLevel="0" collapsed="false">
      <c r="A64" s="19" t="s">
        <v>350</v>
      </c>
      <c r="B64" s="20" t="s">
        <v>320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 t="s">
        <v>563</v>
      </c>
      <c r="AA64" s="30"/>
      <c r="AB64" s="30"/>
      <c r="AC64" s="30"/>
      <c r="AD64" s="30"/>
      <c r="AE64" s="30"/>
      <c r="AF64" s="30"/>
      <c r="AG64" s="30"/>
      <c r="AH64" s="30"/>
      <c r="AI64" s="30" t="s">
        <v>563</v>
      </c>
      <c r="AJ64" s="30"/>
      <c r="AK64" s="30"/>
      <c r="AL64" s="30"/>
      <c r="AM64" s="30"/>
      <c r="AN64" s="30"/>
      <c r="AO64" s="30"/>
      <c r="AP64" s="30"/>
      <c r="AQ64" s="30"/>
    </row>
    <row r="65" customFormat="false" ht="23.85" hidden="false" customHeight="false" outlineLevel="0" collapsed="false">
      <c r="A65" s="19" t="s">
        <v>354</v>
      </c>
      <c r="B65" s="20" t="s">
        <v>320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 t="s">
        <v>563</v>
      </c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</row>
    <row r="66" customFormat="false" ht="23.85" hidden="false" customHeight="false" outlineLevel="0" collapsed="false">
      <c r="A66" s="19" t="s">
        <v>358</v>
      </c>
      <c r="B66" s="20" t="s">
        <v>320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 t="s">
        <v>563</v>
      </c>
      <c r="AQ66" s="30"/>
    </row>
    <row r="67" customFormat="false" ht="23.85" hidden="false" customHeight="false" outlineLevel="0" collapsed="false">
      <c r="A67" s="19" t="s">
        <v>361</v>
      </c>
      <c r="B67" s="20" t="s">
        <v>320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 t="s">
        <v>563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</row>
    <row r="68" customFormat="false" ht="23.85" hidden="false" customHeight="false" outlineLevel="0" collapsed="false">
      <c r="A68" s="19" t="s">
        <v>365</v>
      </c>
      <c r="B68" s="20" t="s">
        <v>320</v>
      </c>
      <c r="C68" s="30"/>
      <c r="D68" s="30"/>
      <c r="E68" s="30"/>
      <c r="F68" s="30"/>
      <c r="G68" s="30"/>
      <c r="H68" s="30" t="s">
        <v>563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</row>
    <row r="69" customFormat="false" ht="23.85" hidden="false" customHeight="false" outlineLevel="0" collapsed="false">
      <c r="A69" s="19" t="s">
        <v>370</v>
      </c>
      <c r="B69" s="20" t="s">
        <v>320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 t="s">
        <v>563</v>
      </c>
      <c r="AA69" s="30"/>
      <c r="AB69" s="30"/>
      <c r="AC69" s="30"/>
      <c r="AD69" s="30" t="s">
        <v>563</v>
      </c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</row>
    <row r="70" customFormat="false" ht="23.85" hidden="false" customHeight="false" outlineLevel="0" collapsed="false">
      <c r="A70" s="19" t="s">
        <v>374</v>
      </c>
      <c r="B70" s="20" t="s">
        <v>320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 t="s">
        <v>563</v>
      </c>
      <c r="N70" s="30"/>
      <c r="O70" s="30"/>
      <c r="P70" s="30"/>
      <c r="Q70" s="30"/>
      <c r="R70" s="30" t="s">
        <v>563</v>
      </c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</row>
    <row r="71" customFormat="false" ht="15" hidden="false" customHeight="false" outlineLevel="0" collapsed="false">
      <c r="A71" s="5" t="s">
        <v>564</v>
      </c>
      <c r="B71" s="31"/>
      <c r="C71" s="32" t="n">
        <f aca="false">COUNTIF(C5:C70,"●")</f>
        <v>2</v>
      </c>
      <c r="D71" s="32" t="n">
        <f aca="false">COUNTIF(D5:D70,"●")</f>
        <v>5</v>
      </c>
      <c r="E71" s="32" t="n">
        <f aca="false">COUNTIF(E5:E70,"●")</f>
        <v>1</v>
      </c>
      <c r="F71" s="32" t="n">
        <f aca="false">COUNTIF(F5:F70,"●")</f>
        <v>10</v>
      </c>
      <c r="G71" s="32" t="n">
        <f aca="false">COUNTIF(G5:G70,"●")</f>
        <v>5</v>
      </c>
      <c r="H71" s="32" t="n">
        <f aca="false">COUNTIF(H5:H70,"●")</f>
        <v>2</v>
      </c>
      <c r="I71" s="32" t="n">
        <f aca="false">COUNTIF(I5:I70,"●")</f>
        <v>3</v>
      </c>
      <c r="J71" s="32" t="n">
        <f aca="false">COUNTIF(J5:J70,"●")</f>
        <v>2</v>
      </c>
      <c r="K71" s="32" t="n">
        <f aca="false">COUNTIF(K5:K70,"●")</f>
        <v>2</v>
      </c>
      <c r="L71" s="32" t="n">
        <f aca="false">COUNTIF(L5:L70,"●")</f>
        <v>1</v>
      </c>
      <c r="M71" s="32" t="n">
        <f aca="false">COUNTIF(M5:M70,"●")</f>
        <v>2</v>
      </c>
      <c r="N71" s="32" t="n">
        <f aca="false">COUNTIF(N5:N70,"●")</f>
        <v>2</v>
      </c>
      <c r="O71" s="32" t="n">
        <f aca="false">COUNTIF(O5:O70,"●")</f>
        <v>3</v>
      </c>
      <c r="P71" s="32" t="n">
        <f aca="false">COUNTIF(P5:P70,"●")</f>
        <v>7</v>
      </c>
      <c r="Q71" s="32" t="n">
        <f aca="false">COUNTIF(Q5:Q70,"●")</f>
        <v>2</v>
      </c>
      <c r="R71" s="32" t="n">
        <f aca="false">COUNTIF(R5:R70,"●")</f>
        <v>5</v>
      </c>
      <c r="S71" s="32" t="n">
        <f aca="false">COUNTIF(S5:S70,"●")</f>
        <v>6</v>
      </c>
      <c r="T71" s="32" t="n">
        <f aca="false">COUNTIF(T5:T70,"●")</f>
        <v>2</v>
      </c>
      <c r="U71" s="32" t="n">
        <f aca="false">COUNTIF(U5:U70,"●")</f>
        <v>1</v>
      </c>
      <c r="V71" s="32" t="n">
        <f aca="false">COUNTIF(V5:V70,"●")</f>
        <v>1</v>
      </c>
      <c r="W71" s="32" t="n">
        <f aca="false">COUNTIF(W5:W70,"●")</f>
        <v>4</v>
      </c>
      <c r="X71" s="32" t="n">
        <f aca="false">COUNTIF(X5:X70,"●")</f>
        <v>2</v>
      </c>
      <c r="Y71" s="32" t="n">
        <f aca="false">COUNTIF(Y5:Y70,"●")</f>
        <v>8</v>
      </c>
      <c r="Z71" s="32" t="n">
        <f aca="false">COUNTIF(Z5:Z70,"●")</f>
        <v>19</v>
      </c>
      <c r="AA71" s="32" t="n">
        <f aca="false">COUNTIF(AA5:AA70,"●")</f>
        <v>2</v>
      </c>
      <c r="AB71" s="32" t="n">
        <f aca="false">COUNTIF(AB5:AB70,"●")</f>
        <v>2</v>
      </c>
      <c r="AC71" s="32" t="n">
        <f aca="false">COUNTIF(AC5:AC70,"●")</f>
        <v>2</v>
      </c>
      <c r="AD71" s="32" t="n">
        <f aca="false">COUNTIF(AD5:AD70,"●")</f>
        <v>3</v>
      </c>
      <c r="AE71" s="32" t="n">
        <f aca="false">COUNTIF(AE5:AE70,"●")</f>
        <v>2</v>
      </c>
      <c r="AF71" s="32" t="n">
        <f aca="false">COUNTIF(AF5:AF70,"●")</f>
        <v>4</v>
      </c>
      <c r="AG71" s="32" t="n">
        <f aca="false">COUNTIF(AG5:AG70,"●")</f>
        <v>5</v>
      </c>
      <c r="AH71" s="32" t="n">
        <f aca="false">COUNTIF(AH5:AH70,"●")</f>
        <v>7</v>
      </c>
      <c r="AI71" s="32" t="n">
        <f aca="false">COUNTIF(AI5:AI70,"●")</f>
        <v>5</v>
      </c>
      <c r="AJ71" s="32" t="n">
        <f aca="false">COUNTIF(AJ5:AJ70,"●")</f>
        <v>4</v>
      </c>
      <c r="AK71" s="32" t="n">
        <f aca="false">COUNTIF(AK5:AK70,"●")</f>
        <v>5</v>
      </c>
      <c r="AL71" s="32" t="n">
        <f aca="false">COUNTIF(AL5:AL70,"●")</f>
        <v>2</v>
      </c>
      <c r="AM71" s="32" t="n">
        <f aca="false">COUNTIF(AM5:AM70,"●")</f>
        <v>2</v>
      </c>
      <c r="AN71" s="32" t="n">
        <f aca="false">COUNTIF(AN5:AN70,"●")</f>
        <v>1</v>
      </c>
      <c r="AO71" s="32" t="n">
        <f aca="false">COUNTIF(AO5:AO70,"●")</f>
        <v>2</v>
      </c>
      <c r="AP71" s="32" t="n">
        <f aca="false">COUNTIF(AP5:AP70,"●")</f>
        <v>5</v>
      </c>
      <c r="AQ71" s="32" t="n">
        <f aca="false">COUNTIF(AQ5:AQ70,"●")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9.7" hidden="false" customHeight="false" outlineLevel="0" collapsed="false">
      <c r="A1" s="1" t="s">
        <v>565</v>
      </c>
    </row>
    <row r="2" customFormat="false" ht="15" hidden="false" customHeight="false" outlineLevel="0" collapsed="false">
      <c r="A2" s="2" t="s">
        <v>566</v>
      </c>
    </row>
    <row r="4" customFormat="false" ht="46.25" hidden="false" customHeight="false" outlineLevel="0" collapsed="false">
      <c r="A4" s="8" t="s">
        <v>57</v>
      </c>
      <c r="B4" s="8" t="s">
        <v>58</v>
      </c>
      <c r="C4" s="8" t="s">
        <v>59</v>
      </c>
      <c r="D4" s="8" t="s">
        <v>60</v>
      </c>
      <c r="E4" s="8" t="s">
        <v>567</v>
      </c>
      <c r="F4" s="8" t="s">
        <v>568</v>
      </c>
      <c r="G4" s="8" t="s">
        <v>569</v>
      </c>
      <c r="H4" s="8" t="s">
        <v>570</v>
      </c>
      <c r="I4" s="8" t="s">
        <v>571</v>
      </c>
      <c r="J4" s="8" t="s">
        <v>572</v>
      </c>
      <c r="K4" s="8" t="s">
        <v>67</v>
      </c>
    </row>
    <row r="5" customFormat="false" ht="15" hidden="false" customHeight="false" outlineLevel="0" collapsed="false">
      <c r="A5" s="9" t="s">
        <v>69</v>
      </c>
      <c r="B5" s="10" t="s">
        <v>70</v>
      </c>
      <c r="C5" s="6" t="s">
        <v>71</v>
      </c>
      <c r="D5" s="6" t="s">
        <v>72</v>
      </c>
      <c r="E5" s="33" t="s">
        <v>573</v>
      </c>
      <c r="F5" s="34" t="s">
        <v>574</v>
      </c>
      <c r="G5" s="6" t="s">
        <v>575</v>
      </c>
      <c r="H5" s="6" t="s">
        <v>76</v>
      </c>
      <c r="I5" s="11" t="n">
        <f aca="false">IFERROR(MATCH(E5,{"R1","R2","R3","Beyond"},0),"")</f>
        <v>1</v>
      </c>
      <c r="J5" s="12"/>
      <c r="K5" s="12"/>
    </row>
    <row r="6" customFormat="false" ht="23.85" hidden="false" customHeight="false" outlineLevel="0" collapsed="false">
      <c r="A6" s="9" t="s">
        <v>77</v>
      </c>
      <c r="B6" s="10" t="s">
        <v>70</v>
      </c>
      <c r="C6" s="6" t="s">
        <v>78</v>
      </c>
      <c r="D6" s="6" t="s">
        <v>79</v>
      </c>
      <c r="E6" s="33" t="s">
        <v>573</v>
      </c>
      <c r="F6" s="35" t="s">
        <v>576</v>
      </c>
      <c r="G6" s="6" t="s">
        <v>577</v>
      </c>
      <c r="H6" s="6" t="s">
        <v>578</v>
      </c>
      <c r="I6" s="11" t="n">
        <f aca="false">IFERROR(MATCH(E6,{"R1","R2","R3","Beyond"},0),"")</f>
        <v>1</v>
      </c>
      <c r="J6" s="12"/>
      <c r="K6" s="12"/>
    </row>
    <row r="7" customFormat="false" ht="23.85" hidden="false" customHeight="false" outlineLevel="0" collapsed="false">
      <c r="A7" s="9" t="s">
        <v>82</v>
      </c>
      <c r="B7" s="10" t="s">
        <v>70</v>
      </c>
      <c r="C7" s="6" t="s">
        <v>78</v>
      </c>
      <c r="D7" s="6" t="s">
        <v>83</v>
      </c>
      <c r="E7" s="33" t="s">
        <v>573</v>
      </c>
      <c r="F7" s="35" t="s">
        <v>576</v>
      </c>
      <c r="G7" s="6" t="s">
        <v>579</v>
      </c>
      <c r="H7" s="6" t="s">
        <v>580</v>
      </c>
      <c r="I7" s="11" t="n">
        <f aca="false">IFERROR(MATCH(E7,{"R1","R2","R3","Beyond"},0),"")</f>
        <v>1</v>
      </c>
      <c r="J7" s="12"/>
      <c r="K7" s="12"/>
    </row>
    <row r="8" customFormat="false" ht="23.85" hidden="false" customHeight="false" outlineLevel="0" collapsed="false">
      <c r="A8" s="9" t="s">
        <v>86</v>
      </c>
      <c r="B8" s="10" t="s">
        <v>70</v>
      </c>
      <c r="C8" s="6" t="s">
        <v>87</v>
      </c>
      <c r="D8" s="6" t="s">
        <v>88</v>
      </c>
      <c r="E8" s="33" t="s">
        <v>573</v>
      </c>
      <c r="F8" s="35" t="s">
        <v>576</v>
      </c>
      <c r="G8" s="6" t="s">
        <v>581</v>
      </c>
      <c r="H8" s="6" t="s">
        <v>582</v>
      </c>
      <c r="I8" s="11" t="n">
        <f aca="false">IFERROR(MATCH(E8,{"R1","R2","R3","Beyond"},0),"")</f>
        <v>1</v>
      </c>
      <c r="J8" s="12"/>
      <c r="K8" s="12"/>
    </row>
    <row r="9" customFormat="false" ht="23.85" hidden="false" customHeight="false" outlineLevel="0" collapsed="false">
      <c r="A9" s="9" t="s">
        <v>91</v>
      </c>
      <c r="B9" s="10" t="s">
        <v>70</v>
      </c>
      <c r="C9" s="6" t="s">
        <v>87</v>
      </c>
      <c r="D9" s="6" t="s">
        <v>92</v>
      </c>
      <c r="E9" s="33" t="s">
        <v>573</v>
      </c>
      <c r="F9" s="35" t="s">
        <v>576</v>
      </c>
      <c r="G9" s="6" t="s">
        <v>583</v>
      </c>
      <c r="H9" s="6" t="s">
        <v>94</v>
      </c>
      <c r="I9" s="11" t="n">
        <f aca="false">IFERROR(MATCH(E9,{"R1","R2","R3","Beyond"},0),"")</f>
        <v>1</v>
      </c>
      <c r="J9" s="12"/>
      <c r="K9" s="12"/>
    </row>
    <row r="10" customFormat="false" ht="23.85" hidden="false" customHeight="false" outlineLevel="0" collapsed="false">
      <c r="A10" s="9" t="s">
        <v>95</v>
      </c>
      <c r="B10" s="10" t="s">
        <v>70</v>
      </c>
      <c r="C10" s="6" t="s">
        <v>96</v>
      </c>
      <c r="D10" s="6" t="s">
        <v>97</v>
      </c>
      <c r="E10" s="33" t="s">
        <v>573</v>
      </c>
      <c r="F10" s="35" t="s">
        <v>576</v>
      </c>
      <c r="G10" s="6" t="s">
        <v>584</v>
      </c>
      <c r="H10" s="6" t="s">
        <v>99</v>
      </c>
      <c r="I10" s="11" t="n">
        <f aca="false">IFERROR(MATCH(E10,{"R1","R2","R3","Beyond"},0),"")</f>
        <v>1</v>
      </c>
      <c r="J10" s="12"/>
      <c r="K10" s="12"/>
    </row>
    <row r="11" customFormat="false" ht="15" hidden="false" customHeight="false" outlineLevel="0" collapsed="false">
      <c r="A11" s="9" t="s">
        <v>100</v>
      </c>
      <c r="B11" s="10" t="s">
        <v>70</v>
      </c>
      <c r="C11" s="6" t="s">
        <v>96</v>
      </c>
      <c r="D11" s="6" t="s">
        <v>101</v>
      </c>
      <c r="E11" s="33" t="s">
        <v>585</v>
      </c>
      <c r="F11" s="34" t="s">
        <v>574</v>
      </c>
      <c r="G11" s="6" t="s">
        <v>586</v>
      </c>
      <c r="H11" s="6" t="s">
        <v>103</v>
      </c>
      <c r="I11" s="11" t="n">
        <f aca="false">IFERROR(MATCH(E11,{"R1","R2","R3","Beyond"},0),"")</f>
        <v>2</v>
      </c>
      <c r="J11" s="12"/>
      <c r="K11" s="12"/>
    </row>
    <row r="12" customFormat="false" ht="15" hidden="false" customHeight="false" outlineLevel="0" collapsed="false">
      <c r="A12" s="9" t="s">
        <v>104</v>
      </c>
      <c r="B12" s="10" t="s">
        <v>70</v>
      </c>
      <c r="C12" s="6" t="s">
        <v>105</v>
      </c>
      <c r="D12" s="6" t="s">
        <v>106</v>
      </c>
      <c r="E12" s="33" t="s">
        <v>573</v>
      </c>
      <c r="F12" s="35" t="s">
        <v>576</v>
      </c>
      <c r="G12" s="6" t="s">
        <v>587</v>
      </c>
      <c r="H12" s="6" t="s">
        <v>108</v>
      </c>
      <c r="I12" s="11" t="n">
        <f aca="false">IFERROR(MATCH(E12,{"R1","R2","R3","Beyond"},0),"")</f>
        <v>1</v>
      </c>
      <c r="J12" s="12"/>
      <c r="K12" s="12"/>
    </row>
    <row r="13" customFormat="false" ht="15" hidden="false" customHeight="false" outlineLevel="0" collapsed="false">
      <c r="A13" s="9" t="s">
        <v>109</v>
      </c>
      <c r="B13" s="10" t="s">
        <v>70</v>
      </c>
      <c r="C13" s="6" t="s">
        <v>105</v>
      </c>
      <c r="D13" s="6" t="s">
        <v>110</v>
      </c>
      <c r="E13" s="33" t="s">
        <v>573</v>
      </c>
      <c r="F13" s="35" t="s">
        <v>576</v>
      </c>
      <c r="G13" s="6" t="s">
        <v>588</v>
      </c>
      <c r="H13" s="6" t="s">
        <v>112</v>
      </c>
      <c r="I13" s="11" t="n">
        <f aca="false">IFERROR(MATCH(E13,{"R1","R2","R3","Beyond"},0),"")</f>
        <v>1</v>
      </c>
      <c r="J13" s="12"/>
      <c r="K13" s="12"/>
    </row>
    <row r="14" customFormat="false" ht="15" hidden="false" customHeight="false" outlineLevel="0" collapsed="false">
      <c r="A14" s="9" t="s">
        <v>113</v>
      </c>
      <c r="B14" s="10" t="s">
        <v>70</v>
      </c>
      <c r="C14" s="6" t="s">
        <v>105</v>
      </c>
      <c r="D14" s="6" t="s">
        <v>114</v>
      </c>
      <c r="E14" s="33" t="s">
        <v>585</v>
      </c>
      <c r="F14" s="35" t="s">
        <v>576</v>
      </c>
      <c r="G14" s="6" t="s">
        <v>589</v>
      </c>
      <c r="H14" s="6" t="s">
        <v>116</v>
      </c>
      <c r="I14" s="11" t="n">
        <f aca="false">IFERROR(MATCH(E14,{"R1","R2","R3","Beyond"},0),"")</f>
        <v>2</v>
      </c>
      <c r="J14" s="12"/>
      <c r="K14" s="12"/>
    </row>
    <row r="15" customFormat="false" ht="23.85" hidden="false" customHeight="false" outlineLevel="0" collapsed="false">
      <c r="A15" s="9" t="s">
        <v>117</v>
      </c>
      <c r="B15" s="10" t="s">
        <v>70</v>
      </c>
      <c r="C15" s="6" t="s">
        <v>118</v>
      </c>
      <c r="D15" s="6" t="s">
        <v>119</v>
      </c>
      <c r="E15" s="33" t="s">
        <v>573</v>
      </c>
      <c r="F15" s="35" t="s">
        <v>576</v>
      </c>
      <c r="G15" s="6" t="s">
        <v>590</v>
      </c>
      <c r="H15" s="6" t="s">
        <v>121</v>
      </c>
      <c r="I15" s="11" t="n">
        <f aca="false">IFERROR(MATCH(E15,{"R1","R2","R3","Beyond"},0),"")</f>
        <v>1</v>
      </c>
      <c r="J15" s="12"/>
      <c r="K15" s="12"/>
    </row>
    <row r="16" customFormat="false" ht="15" hidden="false" customHeight="false" outlineLevel="0" collapsed="false">
      <c r="A16" s="9" t="s">
        <v>122</v>
      </c>
      <c r="B16" s="10" t="s">
        <v>70</v>
      </c>
      <c r="C16" s="6" t="s">
        <v>118</v>
      </c>
      <c r="D16" s="6" t="s">
        <v>123</v>
      </c>
      <c r="E16" s="33" t="s">
        <v>585</v>
      </c>
      <c r="F16" s="34" t="s">
        <v>574</v>
      </c>
      <c r="G16" s="6" t="s">
        <v>591</v>
      </c>
      <c r="H16" s="6" t="s">
        <v>125</v>
      </c>
      <c r="I16" s="11" t="n">
        <f aca="false">IFERROR(MATCH(E16,{"R1","R2","R3","Beyond"},0),"")</f>
        <v>2</v>
      </c>
      <c r="J16" s="12"/>
      <c r="K16" s="12"/>
    </row>
    <row r="17" customFormat="false" ht="15" hidden="false" customHeight="false" outlineLevel="0" collapsed="false">
      <c r="A17" s="9" t="s">
        <v>126</v>
      </c>
      <c r="B17" s="10" t="s">
        <v>70</v>
      </c>
      <c r="C17" s="6" t="s">
        <v>118</v>
      </c>
      <c r="D17" s="6" t="s">
        <v>127</v>
      </c>
      <c r="E17" s="33" t="s">
        <v>592</v>
      </c>
      <c r="F17" s="34" t="s">
        <v>574</v>
      </c>
      <c r="G17" s="6" t="s">
        <v>593</v>
      </c>
      <c r="H17" s="6" t="s">
        <v>129</v>
      </c>
      <c r="I17" s="11" t="n">
        <f aca="false">IFERROR(MATCH(E17,{"R1","R2","R3","Beyond"},0),"")</f>
        <v>3</v>
      </c>
      <c r="J17" s="12"/>
      <c r="K17" s="12"/>
    </row>
    <row r="18" customFormat="false" ht="15" hidden="false" customHeight="false" outlineLevel="0" collapsed="false">
      <c r="A18" s="9" t="s">
        <v>130</v>
      </c>
      <c r="B18" s="10" t="s">
        <v>70</v>
      </c>
      <c r="C18" s="6" t="s">
        <v>118</v>
      </c>
      <c r="D18" s="6" t="s">
        <v>131</v>
      </c>
      <c r="E18" s="33" t="s">
        <v>585</v>
      </c>
      <c r="F18" s="34" t="s">
        <v>574</v>
      </c>
      <c r="G18" s="6" t="s">
        <v>594</v>
      </c>
      <c r="H18" s="6" t="s">
        <v>133</v>
      </c>
      <c r="I18" s="11" t="n">
        <f aca="false">IFERROR(MATCH(E18,{"R1","R2","R3","Beyond"},0),"")</f>
        <v>2</v>
      </c>
      <c r="J18" s="12"/>
      <c r="K18" s="12"/>
    </row>
    <row r="19" customFormat="false" ht="15" hidden="false" customHeight="false" outlineLevel="0" collapsed="false">
      <c r="A19" s="9" t="s">
        <v>134</v>
      </c>
      <c r="B19" s="10" t="s">
        <v>70</v>
      </c>
      <c r="C19" s="6" t="s">
        <v>135</v>
      </c>
      <c r="D19" s="6" t="s">
        <v>136</v>
      </c>
      <c r="E19" s="33" t="s">
        <v>573</v>
      </c>
      <c r="F19" s="35" t="s">
        <v>576</v>
      </c>
      <c r="G19" s="6" t="s">
        <v>595</v>
      </c>
      <c r="H19" s="6" t="s">
        <v>138</v>
      </c>
      <c r="I19" s="11" t="n">
        <f aca="false">IFERROR(MATCH(E19,{"R1","R2","R3","Beyond"},0),"")</f>
        <v>1</v>
      </c>
      <c r="J19" s="12"/>
      <c r="K19" s="12"/>
    </row>
    <row r="20" customFormat="false" ht="15" hidden="false" customHeight="false" outlineLevel="0" collapsed="false">
      <c r="A20" s="9" t="s">
        <v>139</v>
      </c>
      <c r="B20" s="10" t="s">
        <v>70</v>
      </c>
      <c r="C20" s="6" t="s">
        <v>140</v>
      </c>
      <c r="D20" s="6" t="s">
        <v>141</v>
      </c>
      <c r="E20" s="33" t="s">
        <v>585</v>
      </c>
      <c r="F20" s="34" t="s">
        <v>574</v>
      </c>
      <c r="G20" s="6" t="s">
        <v>596</v>
      </c>
      <c r="H20" s="6" t="s">
        <v>143</v>
      </c>
      <c r="I20" s="11" t="n">
        <f aca="false">IFERROR(MATCH(E20,{"R1","R2","R3","Beyond"},0),"")</f>
        <v>2</v>
      </c>
      <c r="J20" s="12"/>
      <c r="K20" s="12"/>
    </row>
    <row r="21" customFormat="false" ht="15" hidden="false" customHeight="false" outlineLevel="0" collapsed="false">
      <c r="A21" s="9" t="s">
        <v>144</v>
      </c>
      <c r="B21" s="10" t="s">
        <v>70</v>
      </c>
      <c r="C21" s="6" t="s">
        <v>118</v>
      </c>
      <c r="D21" s="6" t="s">
        <v>145</v>
      </c>
      <c r="E21" s="33" t="s">
        <v>585</v>
      </c>
      <c r="F21" s="36" t="s">
        <v>597</v>
      </c>
      <c r="G21" s="6" t="s">
        <v>598</v>
      </c>
      <c r="H21" s="6" t="s">
        <v>147</v>
      </c>
      <c r="I21" s="11" t="n">
        <f aca="false">IFERROR(MATCH(E21,{"R1","R2","R3","Beyond"},0),"")</f>
        <v>2</v>
      </c>
      <c r="J21" s="12"/>
      <c r="K21" s="12"/>
    </row>
    <row r="22" customFormat="false" ht="15" hidden="false" customHeight="false" outlineLevel="0" collapsed="false">
      <c r="A22" s="9" t="s">
        <v>148</v>
      </c>
      <c r="B22" s="10" t="s">
        <v>70</v>
      </c>
      <c r="C22" s="6" t="s">
        <v>118</v>
      </c>
      <c r="D22" s="6" t="s">
        <v>149</v>
      </c>
      <c r="E22" s="33" t="s">
        <v>592</v>
      </c>
      <c r="F22" s="34" t="s">
        <v>574</v>
      </c>
      <c r="G22" s="6" t="s">
        <v>599</v>
      </c>
      <c r="H22" s="6" t="s">
        <v>152</v>
      </c>
      <c r="I22" s="11" t="n">
        <f aca="false">IFERROR(MATCH(E22,{"R1","R2","R3","Beyond"},0),"")</f>
        <v>3</v>
      </c>
      <c r="J22" s="12"/>
      <c r="K22" s="12"/>
    </row>
    <row r="23" customFormat="false" ht="15" hidden="false" customHeight="false" outlineLevel="0" collapsed="false">
      <c r="A23" s="9" t="s">
        <v>153</v>
      </c>
      <c r="B23" s="10" t="s">
        <v>70</v>
      </c>
      <c r="C23" s="6" t="s">
        <v>118</v>
      </c>
      <c r="D23" s="6" t="s">
        <v>154</v>
      </c>
      <c r="E23" s="33" t="s">
        <v>592</v>
      </c>
      <c r="F23" s="36" t="s">
        <v>597</v>
      </c>
      <c r="G23" s="6" t="s">
        <v>600</v>
      </c>
      <c r="H23" s="6" t="s">
        <v>156</v>
      </c>
      <c r="I23" s="11" t="n">
        <f aca="false">IFERROR(MATCH(E23,{"R1","R2","R3","Beyond"},0),"")</f>
        <v>3</v>
      </c>
      <c r="J23" s="12"/>
      <c r="K23" s="12"/>
    </row>
    <row r="24" customFormat="false" ht="15" hidden="false" customHeight="false" outlineLevel="0" collapsed="false">
      <c r="A24" s="9" t="s">
        <v>157</v>
      </c>
      <c r="B24" s="10" t="s">
        <v>70</v>
      </c>
      <c r="C24" s="6" t="s">
        <v>140</v>
      </c>
      <c r="D24" s="6" t="s">
        <v>158</v>
      </c>
      <c r="E24" s="33" t="s">
        <v>592</v>
      </c>
      <c r="F24" s="36" t="s">
        <v>597</v>
      </c>
      <c r="G24" s="6" t="s">
        <v>601</v>
      </c>
      <c r="H24" s="6" t="s">
        <v>160</v>
      </c>
      <c r="I24" s="11" t="n">
        <f aca="false">IFERROR(MATCH(E24,{"R1","R2","R3","Beyond"},0),"")</f>
        <v>3</v>
      </c>
      <c r="J24" s="12"/>
      <c r="K24" s="12"/>
    </row>
    <row r="25" customFormat="false" ht="15" hidden="false" customHeight="false" outlineLevel="0" collapsed="false">
      <c r="A25" s="9" t="s">
        <v>161</v>
      </c>
      <c r="B25" s="10" t="s">
        <v>70</v>
      </c>
      <c r="C25" s="6" t="s">
        <v>162</v>
      </c>
      <c r="D25" s="6" t="s">
        <v>163</v>
      </c>
      <c r="E25" s="33" t="s">
        <v>11</v>
      </c>
      <c r="F25" s="37" t="s">
        <v>602</v>
      </c>
      <c r="G25" s="6" t="s">
        <v>603</v>
      </c>
      <c r="H25" s="6" t="s">
        <v>165</v>
      </c>
      <c r="I25" s="11" t="n">
        <f aca="false">IFERROR(MATCH(E25,{"R1","R2","R3","Beyond"},0),"")</f>
        <v>4</v>
      </c>
      <c r="J25" s="12"/>
      <c r="K25" s="12"/>
    </row>
    <row r="26" customFormat="false" ht="15" hidden="false" customHeight="false" outlineLevel="0" collapsed="false">
      <c r="A26" s="9" t="s">
        <v>166</v>
      </c>
      <c r="B26" s="10" t="s">
        <v>70</v>
      </c>
      <c r="C26" s="6" t="s">
        <v>162</v>
      </c>
      <c r="D26" s="6" t="s">
        <v>167</v>
      </c>
      <c r="E26" s="33" t="s">
        <v>592</v>
      </c>
      <c r="F26" s="34" t="s">
        <v>574</v>
      </c>
      <c r="G26" s="6" t="s">
        <v>604</v>
      </c>
      <c r="H26" s="6" t="s">
        <v>169</v>
      </c>
      <c r="I26" s="11" t="n">
        <f aca="false">IFERROR(MATCH(E26,{"R1","R2","R3","Beyond"},0),"")</f>
        <v>3</v>
      </c>
      <c r="J26" s="12"/>
      <c r="K26" s="12"/>
    </row>
    <row r="27" customFormat="false" ht="15" hidden="false" customHeight="false" outlineLevel="0" collapsed="false">
      <c r="A27" s="9" t="s">
        <v>170</v>
      </c>
      <c r="B27" s="10" t="s">
        <v>70</v>
      </c>
      <c r="C27" s="6" t="s">
        <v>162</v>
      </c>
      <c r="D27" s="6" t="s">
        <v>171</v>
      </c>
      <c r="E27" s="33" t="s">
        <v>11</v>
      </c>
      <c r="F27" s="37" t="s">
        <v>602</v>
      </c>
      <c r="G27" s="6" t="s">
        <v>605</v>
      </c>
      <c r="H27" s="6" t="s">
        <v>174</v>
      </c>
      <c r="I27" s="11" t="n">
        <f aca="false">IFERROR(MATCH(E27,{"R1","R2","R3","Beyond"},0),"")</f>
        <v>4</v>
      </c>
      <c r="J27" s="12"/>
      <c r="K27" s="12"/>
    </row>
    <row r="28" customFormat="false" ht="15" hidden="false" customHeight="false" outlineLevel="0" collapsed="false">
      <c r="A28" s="9" t="s">
        <v>175</v>
      </c>
      <c r="B28" s="10" t="s">
        <v>70</v>
      </c>
      <c r="C28" s="6" t="s">
        <v>78</v>
      </c>
      <c r="D28" s="6" t="s">
        <v>176</v>
      </c>
      <c r="E28" s="33" t="s">
        <v>592</v>
      </c>
      <c r="F28" s="36" t="s">
        <v>597</v>
      </c>
      <c r="G28" s="6" t="s">
        <v>606</v>
      </c>
      <c r="H28" s="6" t="s">
        <v>178</v>
      </c>
      <c r="I28" s="11" t="n">
        <f aca="false">IFERROR(MATCH(E28,{"R1","R2","R3","Beyond"},0),"")</f>
        <v>3</v>
      </c>
      <c r="J28" s="12"/>
      <c r="K28" s="12"/>
    </row>
    <row r="29" customFormat="false" ht="23.85" hidden="false" customHeight="false" outlineLevel="0" collapsed="false">
      <c r="A29" s="13" t="s">
        <v>179</v>
      </c>
      <c r="B29" s="14" t="s">
        <v>180</v>
      </c>
      <c r="C29" s="6" t="s">
        <v>181</v>
      </c>
      <c r="D29" s="6" t="s">
        <v>182</v>
      </c>
      <c r="E29" s="33" t="s">
        <v>573</v>
      </c>
      <c r="F29" s="35" t="s">
        <v>576</v>
      </c>
      <c r="G29" s="6" t="s">
        <v>607</v>
      </c>
      <c r="H29" s="6" t="s">
        <v>185</v>
      </c>
      <c r="I29" s="11" t="n">
        <f aca="false">IFERROR(MATCH(E29,{"R1","R2","R3","Beyond"},0),"")</f>
        <v>1</v>
      </c>
      <c r="J29" s="12"/>
      <c r="K29" s="12"/>
    </row>
    <row r="30" customFormat="false" ht="35.05" hidden="false" customHeight="false" outlineLevel="0" collapsed="false">
      <c r="A30" s="13" t="s">
        <v>186</v>
      </c>
      <c r="B30" s="14" t="s">
        <v>180</v>
      </c>
      <c r="C30" s="6" t="s">
        <v>181</v>
      </c>
      <c r="D30" s="6" t="s">
        <v>187</v>
      </c>
      <c r="E30" s="33" t="s">
        <v>573</v>
      </c>
      <c r="F30" s="35" t="s">
        <v>576</v>
      </c>
      <c r="G30" s="6" t="s">
        <v>608</v>
      </c>
      <c r="H30" s="6" t="s">
        <v>325</v>
      </c>
      <c r="I30" s="11" t="n">
        <f aca="false">IFERROR(MATCH(E30,{"R1","R2","R3","Beyond"},0),"")</f>
        <v>1</v>
      </c>
      <c r="J30" s="12"/>
      <c r="K30" s="12"/>
    </row>
    <row r="31" customFormat="false" ht="35.05" hidden="false" customHeight="false" outlineLevel="0" collapsed="false">
      <c r="A31" s="13" t="s">
        <v>190</v>
      </c>
      <c r="B31" s="14" t="s">
        <v>180</v>
      </c>
      <c r="C31" s="6" t="s">
        <v>191</v>
      </c>
      <c r="D31" s="6" t="s">
        <v>192</v>
      </c>
      <c r="E31" s="33" t="s">
        <v>573</v>
      </c>
      <c r="F31" s="35" t="s">
        <v>576</v>
      </c>
      <c r="G31" s="6" t="s">
        <v>609</v>
      </c>
      <c r="H31" s="6" t="s">
        <v>194</v>
      </c>
      <c r="I31" s="11" t="n">
        <f aca="false">IFERROR(MATCH(E31,{"R1","R2","R3","Beyond"},0),"")</f>
        <v>1</v>
      </c>
      <c r="J31" s="12"/>
      <c r="K31" s="12"/>
    </row>
    <row r="32" customFormat="false" ht="35.05" hidden="false" customHeight="false" outlineLevel="0" collapsed="false">
      <c r="A32" s="13" t="s">
        <v>195</v>
      </c>
      <c r="B32" s="14" t="s">
        <v>180</v>
      </c>
      <c r="C32" s="6" t="s">
        <v>191</v>
      </c>
      <c r="D32" s="6" t="s">
        <v>196</v>
      </c>
      <c r="E32" s="33" t="s">
        <v>573</v>
      </c>
      <c r="F32" s="35" t="s">
        <v>576</v>
      </c>
      <c r="G32" s="6" t="s">
        <v>610</v>
      </c>
      <c r="H32" s="6" t="s">
        <v>198</v>
      </c>
      <c r="I32" s="11" t="n">
        <f aca="false">IFERROR(MATCH(E32,{"R1","R2","R3","Beyond"},0),"")</f>
        <v>1</v>
      </c>
      <c r="J32" s="12"/>
      <c r="K32" s="12"/>
    </row>
    <row r="33" customFormat="false" ht="35.05" hidden="false" customHeight="false" outlineLevel="0" collapsed="false">
      <c r="A33" s="13" t="s">
        <v>199</v>
      </c>
      <c r="B33" s="14" t="s">
        <v>180</v>
      </c>
      <c r="C33" s="6" t="s">
        <v>200</v>
      </c>
      <c r="D33" s="6" t="s">
        <v>201</v>
      </c>
      <c r="E33" s="33" t="s">
        <v>573</v>
      </c>
      <c r="F33" s="35" t="s">
        <v>576</v>
      </c>
      <c r="G33" s="6" t="s">
        <v>611</v>
      </c>
      <c r="H33" s="6" t="s">
        <v>203</v>
      </c>
      <c r="I33" s="11" t="n">
        <f aca="false">IFERROR(MATCH(E33,{"R1","R2","R3","Beyond"},0),"")</f>
        <v>1</v>
      </c>
      <c r="J33" s="12"/>
      <c r="K33" s="12"/>
    </row>
    <row r="34" customFormat="false" ht="23.85" hidden="false" customHeight="false" outlineLevel="0" collapsed="false">
      <c r="A34" s="13" t="s">
        <v>204</v>
      </c>
      <c r="B34" s="14" t="s">
        <v>180</v>
      </c>
      <c r="C34" s="6" t="s">
        <v>205</v>
      </c>
      <c r="D34" s="6" t="s">
        <v>206</v>
      </c>
      <c r="E34" s="33" t="s">
        <v>573</v>
      </c>
      <c r="F34" s="35" t="s">
        <v>576</v>
      </c>
      <c r="G34" s="6" t="s">
        <v>612</v>
      </c>
      <c r="H34" s="6" t="s">
        <v>208</v>
      </c>
      <c r="I34" s="11" t="n">
        <f aca="false">IFERROR(MATCH(E34,{"R1","R2","R3","Beyond"},0),"")</f>
        <v>1</v>
      </c>
      <c r="J34" s="12"/>
      <c r="K34" s="12"/>
    </row>
    <row r="35" customFormat="false" ht="35.05" hidden="false" customHeight="false" outlineLevel="0" collapsed="false">
      <c r="A35" s="13" t="s">
        <v>209</v>
      </c>
      <c r="B35" s="14" t="s">
        <v>180</v>
      </c>
      <c r="C35" s="6" t="s">
        <v>181</v>
      </c>
      <c r="D35" s="6" t="s">
        <v>210</v>
      </c>
      <c r="E35" s="33" t="s">
        <v>573</v>
      </c>
      <c r="F35" s="35" t="s">
        <v>576</v>
      </c>
      <c r="G35" s="6" t="s">
        <v>613</v>
      </c>
      <c r="H35" s="6" t="s">
        <v>212</v>
      </c>
      <c r="I35" s="11" t="n">
        <f aca="false">IFERROR(MATCH(E35,{"R1","R2","R3","Beyond"},0),"")</f>
        <v>1</v>
      </c>
      <c r="J35" s="12"/>
      <c r="K35" s="12"/>
    </row>
    <row r="36" customFormat="false" ht="23.85" hidden="false" customHeight="false" outlineLevel="0" collapsed="false">
      <c r="A36" s="13" t="s">
        <v>213</v>
      </c>
      <c r="B36" s="14" t="s">
        <v>180</v>
      </c>
      <c r="C36" s="6" t="s">
        <v>214</v>
      </c>
      <c r="D36" s="6" t="s">
        <v>215</v>
      </c>
      <c r="E36" s="33" t="s">
        <v>573</v>
      </c>
      <c r="F36" s="35" t="s">
        <v>576</v>
      </c>
      <c r="G36" s="6" t="s">
        <v>614</v>
      </c>
      <c r="H36" s="6" t="s">
        <v>217</v>
      </c>
      <c r="I36" s="11" t="n">
        <f aca="false">IFERROR(MATCH(E36,{"R1","R2","R3","Beyond"},0),"")</f>
        <v>1</v>
      </c>
      <c r="J36" s="12"/>
      <c r="K36" s="12"/>
    </row>
    <row r="37" customFormat="false" ht="23.85" hidden="false" customHeight="false" outlineLevel="0" collapsed="false">
      <c r="A37" s="13" t="s">
        <v>218</v>
      </c>
      <c r="B37" s="14" t="s">
        <v>180</v>
      </c>
      <c r="C37" s="6" t="s">
        <v>219</v>
      </c>
      <c r="D37" s="6" t="s">
        <v>220</v>
      </c>
      <c r="E37" s="33" t="s">
        <v>573</v>
      </c>
      <c r="F37" s="35" t="s">
        <v>576</v>
      </c>
      <c r="G37" s="6" t="s">
        <v>615</v>
      </c>
      <c r="H37" s="6" t="s">
        <v>222</v>
      </c>
      <c r="I37" s="11" t="n">
        <f aca="false">IFERROR(MATCH(E37,{"R1","R2","R3","Beyond"},0),"")</f>
        <v>1</v>
      </c>
      <c r="J37" s="12"/>
      <c r="K37" s="12"/>
    </row>
    <row r="38" customFormat="false" ht="35.05" hidden="false" customHeight="false" outlineLevel="0" collapsed="false">
      <c r="A38" s="13" t="s">
        <v>223</v>
      </c>
      <c r="B38" s="14" t="s">
        <v>180</v>
      </c>
      <c r="C38" s="6" t="s">
        <v>224</v>
      </c>
      <c r="D38" s="6" t="s">
        <v>225</v>
      </c>
      <c r="E38" s="33" t="s">
        <v>573</v>
      </c>
      <c r="F38" s="34" t="s">
        <v>574</v>
      </c>
      <c r="G38" s="6" t="s">
        <v>616</v>
      </c>
      <c r="H38" s="6" t="s">
        <v>227</v>
      </c>
      <c r="I38" s="11" t="n">
        <f aca="false">IFERROR(MATCH(E38,{"R1","R2","R3","Beyond"},0),"")</f>
        <v>1</v>
      </c>
      <c r="J38" s="12"/>
      <c r="K38" s="12"/>
    </row>
    <row r="39" customFormat="false" ht="23.85" hidden="false" customHeight="false" outlineLevel="0" collapsed="false">
      <c r="A39" s="15" t="s">
        <v>228</v>
      </c>
      <c r="B39" s="16" t="s">
        <v>229</v>
      </c>
      <c r="C39" s="6" t="s">
        <v>230</v>
      </c>
      <c r="D39" s="6" t="s">
        <v>231</v>
      </c>
      <c r="E39" s="33" t="s">
        <v>573</v>
      </c>
      <c r="F39" s="35" t="s">
        <v>576</v>
      </c>
      <c r="G39" s="6" t="s">
        <v>617</v>
      </c>
      <c r="H39" s="6" t="s">
        <v>234</v>
      </c>
      <c r="I39" s="11" t="n">
        <f aca="false">IFERROR(MATCH(E39,{"R1","R2","R3","Beyond"},0),"")</f>
        <v>1</v>
      </c>
      <c r="J39" s="12"/>
      <c r="K39" s="12"/>
    </row>
    <row r="40" customFormat="false" ht="35.05" hidden="false" customHeight="false" outlineLevel="0" collapsed="false">
      <c r="A40" s="15" t="s">
        <v>235</v>
      </c>
      <c r="B40" s="16" t="s">
        <v>229</v>
      </c>
      <c r="C40" s="6" t="s">
        <v>236</v>
      </c>
      <c r="D40" s="6" t="s">
        <v>237</v>
      </c>
      <c r="E40" s="33" t="s">
        <v>573</v>
      </c>
      <c r="F40" s="34" t="s">
        <v>574</v>
      </c>
      <c r="G40" s="6" t="s">
        <v>618</v>
      </c>
      <c r="H40" s="6" t="s">
        <v>239</v>
      </c>
      <c r="I40" s="11" t="n">
        <f aca="false">IFERROR(MATCH(E40,{"R1","R2","R3","Beyond"},0),"")</f>
        <v>1</v>
      </c>
      <c r="J40" s="12"/>
      <c r="K40" s="12"/>
    </row>
    <row r="41" customFormat="false" ht="35.05" hidden="false" customHeight="false" outlineLevel="0" collapsed="false">
      <c r="A41" s="15" t="s">
        <v>240</v>
      </c>
      <c r="B41" s="16" t="s">
        <v>229</v>
      </c>
      <c r="C41" s="6" t="s">
        <v>241</v>
      </c>
      <c r="D41" s="6" t="s">
        <v>242</v>
      </c>
      <c r="E41" s="33" t="s">
        <v>573</v>
      </c>
      <c r="F41" s="35" t="s">
        <v>576</v>
      </c>
      <c r="G41" s="6" t="s">
        <v>619</v>
      </c>
      <c r="H41" s="6" t="s">
        <v>244</v>
      </c>
      <c r="I41" s="11" t="n">
        <f aca="false">IFERROR(MATCH(E41,{"R1","R2","R3","Beyond"},0),"")</f>
        <v>1</v>
      </c>
      <c r="J41" s="12"/>
      <c r="K41" s="12"/>
    </row>
    <row r="42" customFormat="false" ht="35.05" hidden="false" customHeight="false" outlineLevel="0" collapsed="false">
      <c r="A42" s="15" t="s">
        <v>245</v>
      </c>
      <c r="B42" s="16" t="s">
        <v>229</v>
      </c>
      <c r="C42" s="6" t="s">
        <v>246</v>
      </c>
      <c r="D42" s="6" t="s">
        <v>247</v>
      </c>
      <c r="E42" s="33" t="s">
        <v>573</v>
      </c>
      <c r="F42" s="35" t="s">
        <v>576</v>
      </c>
      <c r="G42" s="6" t="s">
        <v>620</v>
      </c>
      <c r="H42" s="6" t="s">
        <v>249</v>
      </c>
      <c r="I42" s="11" t="n">
        <f aca="false">IFERROR(MATCH(E42,{"R1","R2","R3","Beyond"},0),"")</f>
        <v>1</v>
      </c>
      <c r="J42" s="12"/>
      <c r="K42" s="12"/>
    </row>
    <row r="43" customFormat="false" ht="35.05" hidden="false" customHeight="false" outlineLevel="0" collapsed="false">
      <c r="A43" s="15" t="s">
        <v>250</v>
      </c>
      <c r="B43" s="16" t="s">
        <v>229</v>
      </c>
      <c r="C43" s="6" t="s">
        <v>251</v>
      </c>
      <c r="D43" s="6" t="s">
        <v>252</v>
      </c>
      <c r="E43" s="33" t="s">
        <v>573</v>
      </c>
      <c r="F43" s="35" t="s">
        <v>576</v>
      </c>
      <c r="G43" s="6" t="s">
        <v>621</v>
      </c>
      <c r="H43" s="6" t="s">
        <v>254</v>
      </c>
      <c r="I43" s="11" t="n">
        <f aca="false">IFERROR(MATCH(E43,{"R1","R2","R3","Beyond"},0),"")</f>
        <v>1</v>
      </c>
      <c r="J43" s="12"/>
      <c r="K43" s="12"/>
    </row>
    <row r="44" customFormat="false" ht="35.05" hidden="false" customHeight="false" outlineLevel="0" collapsed="false">
      <c r="A44" s="15" t="s">
        <v>255</v>
      </c>
      <c r="B44" s="16" t="s">
        <v>229</v>
      </c>
      <c r="C44" s="6" t="s">
        <v>256</v>
      </c>
      <c r="D44" s="6" t="s">
        <v>257</v>
      </c>
      <c r="E44" s="33" t="s">
        <v>573</v>
      </c>
      <c r="F44" s="34" t="s">
        <v>574</v>
      </c>
      <c r="G44" s="6" t="s">
        <v>622</v>
      </c>
      <c r="H44" s="6" t="s">
        <v>249</v>
      </c>
      <c r="I44" s="11" t="n">
        <f aca="false">IFERROR(MATCH(E44,{"R1","R2","R3","Beyond"},0),"")</f>
        <v>1</v>
      </c>
      <c r="J44" s="12"/>
      <c r="K44" s="12"/>
    </row>
    <row r="45" customFormat="false" ht="23.85" hidden="false" customHeight="false" outlineLevel="0" collapsed="false">
      <c r="A45" s="15" t="s">
        <v>259</v>
      </c>
      <c r="B45" s="16" t="s">
        <v>229</v>
      </c>
      <c r="C45" s="6" t="s">
        <v>260</v>
      </c>
      <c r="D45" s="6" t="s">
        <v>261</v>
      </c>
      <c r="E45" s="33" t="s">
        <v>573</v>
      </c>
      <c r="F45" s="35" t="s">
        <v>576</v>
      </c>
      <c r="G45" s="6" t="s">
        <v>623</v>
      </c>
      <c r="H45" s="6" t="s">
        <v>263</v>
      </c>
      <c r="I45" s="11" t="n">
        <f aca="false">IFERROR(MATCH(E45,{"R1","R2","R3","Beyond"},0),"")</f>
        <v>1</v>
      </c>
      <c r="J45" s="12"/>
      <c r="K45" s="12"/>
    </row>
    <row r="46" customFormat="false" ht="23.85" hidden="false" customHeight="false" outlineLevel="0" collapsed="false">
      <c r="A46" s="15" t="s">
        <v>264</v>
      </c>
      <c r="B46" s="16" t="s">
        <v>229</v>
      </c>
      <c r="C46" s="6" t="s">
        <v>265</v>
      </c>
      <c r="D46" s="6" t="s">
        <v>266</v>
      </c>
      <c r="E46" s="33" t="s">
        <v>585</v>
      </c>
      <c r="F46" s="34" t="s">
        <v>574</v>
      </c>
      <c r="G46" s="6" t="s">
        <v>624</v>
      </c>
      <c r="H46" s="6" t="s">
        <v>268</v>
      </c>
      <c r="I46" s="11" t="n">
        <f aca="false">IFERROR(MATCH(E46,{"R1","R2","R3","Beyond"},0),"")</f>
        <v>2</v>
      </c>
      <c r="J46" s="12"/>
      <c r="K46" s="12"/>
    </row>
    <row r="47" customFormat="false" ht="23.85" hidden="false" customHeight="false" outlineLevel="0" collapsed="false">
      <c r="A47" s="15" t="s">
        <v>269</v>
      </c>
      <c r="B47" s="16" t="s">
        <v>229</v>
      </c>
      <c r="C47" s="6" t="s">
        <v>270</v>
      </c>
      <c r="D47" s="6" t="s">
        <v>271</v>
      </c>
      <c r="E47" s="33" t="s">
        <v>573</v>
      </c>
      <c r="F47" s="34" t="s">
        <v>574</v>
      </c>
      <c r="G47" s="6" t="s">
        <v>625</v>
      </c>
      <c r="H47" s="6" t="s">
        <v>273</v>
      </c>
      <c r="I47" s="11" t="n">
        <f aca="false">IFERROR(MATCH(E47,{"R1","R2","R3","Beyond"},0),"")</f>
        <v>1</v>
      </c>
      <c r="J47" s="12"/>
      <c r="K47" s="12"/>
    </row>
    <row r="48" customFormat="false" ht="23.85" hidden="false" customHeight="false" outlineLevel="0" collapsed="false">
      <c r="A48" s="15" t="s">
        <v>274</v>
      </c>
      <c r="B48" s="16" t="s">
        <v>229</v>
      </c>
      <c r="C48" s="6" t="s">
        <v>275</v>
      </c>
      <c r="D48" s="6" t="s">
        <v>276</v>
      </c>
      <c r="E48" s="33" t="s">
        <v>573</v>
      </c>
      <c r="F48" s="35" t="s">
        <v>576</v>
      </c>
      <c r="G48" s="6" t="s">
        <v>626</v>
      </c>
      <c r="H48" s="6" t="s">
        <v>278</v>
      </c>
      <c r="I48" s="11" t="n">
        <f aca="false">IFERROR(MATCH(E48,{"R1","R2","R3","Beyond"},0),"")</f>
        <v>1</v>
      </c>
      <c r="J48" s="12"/>
      <c r="K48" s="12"/>
    </row>
    <row r="49" customFormat="false" ht="23.85" hidden="false" customHeight="false" outlineLevel="0" collapsed="false">
      <c r="A49" s="15" t="s">
        <v>279</v>
      </c>
      <c r="B49" s="16" t="s">
        <v>229</v>
      </c>
      <c r="C49" s="6" t="s">
        <v>280</v>
      </c>
      <c r="D49" s="6" t="s">
        <v>281</v>
      </c>
      <c r="E49" s="33" t="s">
        <v>592</v>
      </c>
      <c r="F49" s="34" t="s">
        <v>574</v>
      </c>
      <c r="G49" s="6" t="s">
        <v>627</v>
      </c>
      <c r="H49" s="6" t="s">
        <v>283</v>
      </c>
      <c r="I49" s="11" t="n">
        <f aca="false">IFERROR(MATCH(E49,{"R1","R2","R3","Beyond"},0),"")</f>
        <v>3</v>
      </c>
      <c r="J49" s="12"/>
      <c r="K49" s="12"/>
    </row>
    <row r="50" customFormat="false" ht="35.05" hidden="false" customHeight="false" outlineLevel="0" collapsed="false">
      <c r="A50" s="17" t="s">
        <v>284</v>
      </c>
      <c r="B50" s="18" t="s">
        <v>285</v>
      </c>
      <c r="C50" s="6" t="s">
        <v>286</v>
      </c>
      <c r="D50" s="6" t="s">
        <v>287</v>
      </c>
      <c r="E50" s="33" t="s">
        <v>573</v>
      </c>
      <c r="F50" s="35" t="s">
        <v>576</v>
      </c>
      <c r="G50" s="6" t="s">
        <v>628</v>
      </c>
      <c r="H50" s="6" t="s">
        <v>290</v>
      </c>
      <c r="I50" s="11" t="n">
        <f aca="false">IFERROR(MATCH(E50,{"R1","R2","R3","Beyond"},0),"")</f>
        <v>1</v>
      </c>
      <c r="J50" s="12"/>
      <c r="K50" s="12"/>
    </row>
    <row r="51" customFormat="false" ht="35.05" hidden="false" customHeight="false" outlineLevel="0" collapsed="false">
      <c r="A51" s="17" t="s">
        <v>291</v>
      </c>
      <c r="B51" s="18" t="s">
        <v>285</v>
      </c>
      <c r="C51" s="6" t="s">
        <v>292</v>
      </c>
      <c r="D51" s="6" t="s">
        <v>293</v>
      </c>
      <c r="E51" s="33" t="s">
        <v>573</v>
      </c>
      <c r="F51" s="35" t="s">
        <v>576</v>
      </c>
      <c r="G51" s="6" t="s">
        <v>629</v>
      </c>
      <c r="H51" s="6" t="s">
        <v>295</v>
      </c>
      <c r="I51" s="11" t="n">
        <f aca="false">IFERROR(MATCH(E51,{"R1","R2","R3","Beyond"},0),"")</f>
        <v>1</v>
      </c>
      <c r="J51" s="12"/>
      <c r="K51" s="12"/>
    </row>
    <row r="52" customFormat="false" ht="23.85" hidden="false" customHeight="false" outlineLevel="0" collapsed="false">
      <c r="A52" s="17" t="s">
        <v>296</v>
      </c>
      <c r="B52" s="18" t="s">
        <v>285</v>
      </c>
      <c r="C52" s="6" t="s">
        <v>297</v>
      </c>
      <c r="D52" s="6" t="s">
        <v>298</v>
      </c>
      <c r="E52" s="33" t="s">
        <v>573</v>
      </c>
      <c r="F52" s="35" t="s">
        <v>576</v>
      </c>
      <c r="G52" s="6" t="s">
        <v>630</v>
      </c>
      <c r="H52" s="6" t="s">
        <v>300</v>
      </c>
      <c r="I52" s="11" t="n">
        <f aca="false">IFERROR(MATCH(E52,{"R1","R2","R3","Beyond"},0),"")</f>
        <v>1</v>
      </c>
      <c r="J52" s="12"/>
      <c r="K52" s="12"/>
    </row>
    <row r="53" customFormat="false" ht="23.85" hidden="false" customHeight="false" outlineLevel="0" collapsed="false">
      <c r="A53" s="17" t="s">
        <v>301</v>
      </c>
      <c r="B53" s="18" t="s">
        <v>285</v>
      </c>
      <c r="C53" s="6" t="s">
        <v>302</v>
      </c>
      <c r="D53" s="6" t="s">
        <v>303</v>
      </c>
      <c r="E53" s="33" t="s">
        <v>573</v>
      </c>
      <c r="F53" s="35" t="s">
        <v>576</v>
      </c>
      <c r="G53" s="6" t="s">
        <v>631</v>
      </c>
      <c r="H53" s="6" t="s">
        <v>305</v>
      </c>
      <c r="I53" s="11" t="n">
        <f aca="false">IFERROR(MATCH(E53,{"R1","R2","R3","Beyond"},0),"")</f>
        <v>1</v>
      </c>
      <c r="J53" s="12"/>
      <c r="K53" s="12"/>
    </row>
    <row r="54" customFormat="false" ht="35.05" hidden="false" customHeight="false" outlineLevel="0" collapsed="false">
      <c r="A54" s="17" t="s">
        <v>306</v>
      </c>
      <c r="B54" s="18" t="s">
        <v>285</v>
      </c>
      <c r="C54" s="6" t="s">
        <v>307</v>
      </c>
      <c r="D54" s="6" t="s">
        <v>308</v>
      </c>
      <c r="E54" s="33" t="s">
        <v>573</v>
      </c>
      <c r="F54" s="35" t="s">
        <v>576</v>
      </c>
      <c r="G54" s="6" t="s">
        <v>632</v>
      </c>
      <c r="H54" s="6" t="s">
        <v>310</v>
      </c>
      <c r="I54" s="11" t="n">
        <f aca="false">IFERROR(MATCH(E54,{"R1","R2","R3","Beyond"},0),"")</f>
        <v>1</v>
      </c>
      <c r="J54" s="12"/>
      <c r="K54" s="12"/>
    </row>
    <row r="55" customFormat="false" ht="15" hidden="false" customHeight="false" outlineLevel="0" collapsed="false">
      <c r="A55" s="17" t="s">
        <v>311</v>
      </c>
      <c r="B55" s="18" t="s">
        <v>285</v>
      </c>
      <c r="C55" s="6" t="s">
        <v>312</v>
      </c>
      <c r="D55" s="6" t="s">
        <v>313</v>
      </c>
      <c r="E55" s="33" t="s">
        <v>585</v>
      </c>
      <c r="F55" s="36" t="s">
        <v>597</v>
      </c>
      <c r="G55" s="6" t="s">
        <v>633</v>
      </c>
      <c r="H55" s="6" t="s">
        <v>147</v>
      </c>
      <c r="I55" s="11" t="n">
        <f aca="false">IFERROR(MATCH(E55,{"R1","R2","R3","Beyond"},0),"")</f>
        <v>2</v>
      </c>
      <c r="J55" s="12"/>
      <c r="K55" s="12"/>
    </row>
    <row r="56" customFormat="false" ht="23.85" hidden="false" customHeight="false" outlineLevel="0" collapsed="false">
      <c r="A56" s="17" t="s">
        <v>315</v>
      </c>
      <c r="B56" s="18" t="s">
        <v>285</v>
      </c>
      <c r="C56" s="6" t="s">
        <v>181</v>
      </c>
      <c r="D56" s="6" t="s">
        <v>316</v>
      </c>
      <c r="E56" s="33" t="s">
        <v>573</v>
      </c>
      <c r="F56" s="34" t="s">
        <v>574</v>
      </c>
      <c r="G56" s="6" t="s">
        <v>634</v>
      </c>
      <c r="H56" s="6" t="s">
        <v>318</v>
      </c>
      <c r="I56" s="11" t="n">
        <f aca="false">IFERROR(MATCH(E56,{"R1","R2","R3","Beyond"},0),"")</f>
        <v>1</v>
      </c>
      <c r="J56" s="12"/>
      <c r="K56" s="12"/>
    </row>
    <row r="57" customFormat="false" ht="23.85" hidden="false" customHeight="false" outlineLevel="0" collapsed="false">
      <c r="A57" s="19" t="s">
        <v>319</v>
      </c>
      <c r="B57" s="20" t="s">
        <v>320</v>
      </c>
      <c r="C57" s="6" t="s">
        <v>180</v>
      </c>
      <c r="D57" s="6" t="s">
        <v>321</v>
      </c>
      <c r="E57" s="33" t="s">
        <v>573</v>
      </c>
      <c r="F57" s="35" t="s">
        <v>576</v>
      </c>
      <c r="G57" s="6" t="s">
        <v>635</v>
      </c>
      <c r="H57" s="6" t="s">
        <v>325</v>
      </c>
      <c r="I57" s="11" t="n">
        <f aca="false">IFERROR(MATCH(E57,{"R1","R2","R3","Beyond"},0),"")</f>
        <v>1</v>
      </c>
      <c r="J57" s="12"/>
      <c r="K57" s="12"/>
    </row>
    <row r="58" customFormat="false" ht="23.85" hidden="false" customHeight="false" outlineLevel="0" collapsed="false">
      <c r="A58" s="19" t="s">
        <v>326</v>
      </c>
      <c r="B58" s="20" t="s">
        <v>320</v>
      </c>
      <c r="C58" s="6" t="s">
        <v>180</v>
      </c>
      <c r="D58" s="6" t="s">
        <v>327</v>
      </c>
      <c r="E58" s="33" t="s">
        <v>592</v>
      </c>
      <c r="F58" s="35" t="s">
        <v>576</v>
      </c>
      <c r="G58" s="6" t="s">
        <v>636</v>
      </c>
      <c r="H58" s="6" t="s">
        <v>329</v>
      </c>
      <c r="I58" s="11" t="n">
        <f aca="false">IFERROR(MATCH(E58,{"R1","R2","R3","Beyond"},0),"")</f>
        <v>3</v>
      </c>
      <c r="J58" s="12"/>
      <c r="K58" s="12"/>
    </row>
    <row r="59" customFormat="false" ht="23.85" hidden="false" customHeight="false" outlineLevel="0" collapsed="false">
      <c r="A59" s="19" t="s">
        <v>330</v>
      </c>
      <c r="B59" s="20" t="s">
        <v>320</v>
      </c>
      <c r="C59" s="6" t="s">
        <v>331</v>
      </c>
      <c r="D59" s="6" t="s">
        <v>332</v>
      </c>
      <c r="E59" s="33" t="s">
        <v>573</v>
      </c>
      <c r="F59" s="35" t="s">
        <v>576</v>
      </c>
      <c r="G59" s="6" t="s">
        <v>637</v>
      </c>
      <c r="H59" s="6" t="s">
        <v>334</v>
      </c>
      <c r="I59" s="11" t="n">
        <f aca="false">IFERROR(MATCH(E59,{"R1","R2","R3","Beyond"},0),"")</f>
        <v>1</v>
      </c>
      <c r="J59" s="12"/>
      <c r="K59" s="12"/>
    </row>
    <row r="60" customFormat="false" ht="23.85" hidden="false" customHeight="false" outlineLevel="0" collapsed="false">
      <c r="A60" s="19" t="s">
        <v>335</v>
      </c>
      <c r="B60" s="20" t="s">
        <v>320</v>
      </c>
      <c r="C60" s="6" t="s">
        <v>180</v>
      </c>
      <c r="D60" s="6" t="s">
        <v>336</v>
      </c>
      <c r="E60" s="33" t="s">
        <v>573</v>
      </c>
      <c r="F60" s="35" t="s">
        <v>576</v>
      </c>
      <c r="G60" s="6" t="s">
        <v>638</v>
      </c>
      <c r="H60" s="6" t="s">
        <v>338</v>
      </c>
      <c r="I60" s="11" t="n">
        <f aca="false">IFERROR(MATCH(E60,{"R1","R2","R3","Beyond"},0),"")</f>
        <v>1</v>
      </c>
      <c r="J60" s="12"/>
      <c r="K60" s="12"/>
    </row>
    <row r="61" customFormat="false" ht="23.85" hidden="false" customHeight="false" outlineLevel="0" collapsed="false">
      <c r="A61" s="19" t="s">
        <v>339</v>
      </c>
      <c r="B61" s="20" t="s">
        <v>320</v>
      </c>
      <c r="C61" s="6" t="s">
        <v>285</v>
      </c>
      <c r="D61" s="6" t="s">
        <v>340</v>
      </c>
      <c r="E61" s="33" t="s">
        <v>585</v>
      </c>
      <c r="F61" s="35" t="s">
        <v>576</v>
      </c>
      <c r="G61" s="6" t="s">
        <v>639</v>
      </c>
      <c r="H61" s="6" t="s">
        <v>342</v>
      </c>
      <c r="I61" s="11" t="n">
        <f aca="false">IFERROR(MATCH(E61,{"R1","R2","R3","Beyond"},0),"")</f>
        <v>2</v>
      </c>
      <c r="J61" s="12"/>
      <c r="K61" s="12"/>
    </row>
    <row r="62" customFormat="false" ht="23.85" hidden="false" customHeight="false" outlineLevel="0" collapsed="false">
      <c r="A62" s="19" t="s">
        <v>343</v>
      </c>
      <c r="B62" s="20" t="s">
        <v>320</v>
      </c>
      <c r="C62" s="6" t="s">
        <v>285</v>
      </c>
      <c r="D62" s="6" t="s">
        <v>344</v>
      </c>
      <c r="E62" s="33" t="s">
        <v>573</v>
      </c>
      <c r="F62" s="35" t="s">
        <v>576</v>
      </c>
      <c r="G62" s="6" t="s">
        <v>640</v>
      </c>
      <c r="H62" s="6" t="s">
        <v>346</v>
      </c>
      <c r="I62" s="11" t="n">
        <f aca="false">IFERROR(MATCH(E62,{"R1","R2","R3","Beyond"},0),"")</f>
        <v>1</v>
      </c>
      <c r="J62" s="12"/>
      <c r="K62" s="12"/>
    </row>
    <row r="63" customFormat="false" ht="23.85" hidden="false" customHeight="false" outlineLevel="0" collapsed="false">
      <c r="A63" s="19" t="s">
        <v>347</v>
      </c>
      <c r="B63" s="20" t="s">
        <v>320</v>
      </c>
      <c r="C63" s="6" t="s">
        <v>180</v>
      </c>
      <c r="D63" s="6" t="s">
        <v>348</v>
      </c>
      <c r="E63" s="33" t="s">
        <v>573</v>
      </c>
      <c r="F63" s="35" t="s">
        <v>576</v>
      </c>
      <c r="G63" s="6" t="s">
        <v>641</v>
      </c>
      <c r="H63" s="6" t="s">
        <v>203</v>
      </c>
      <c r="I63" s="11" t="n">
        <f aca="false">IFERROR(MATCH(E63,{"R1","R2","R3","Beyond"},0),"")</f>
        <v>1</v>
      </c>
      <c r="J63" s="12"/>
      <c r="K63" s="12"/>
    </row>
    <row r="64" customFormat="false" ht="23.85" hidden="false" customHeight="false" outlineLevel="0" collapsed="false">
      <c r="A64" s="19" t="s">
        <v>350</v>
      </c>
      <c r="B64" s="20" t="s">
        <v>320</v>
      </c>
      <c r="C64" s="6" t="s">
        <v>180</v>
      </c>
      <c r="D64" s="6" t="s">
        <v>351</v>
      </c>
      <c r="E64" s="33" t="s">
        <v>573</v>
      </c>
      <c r="F64" s="35" t="s">
        <v>576</v>
      </c>
      <c r="G64" s="6" t="s">
        <v>642</v>
      </c>
      <c r="H64" s="6" t="s">
        <v>353</v>
      </c>
      <c r="I64" s="11" t="n">
        <f aca="false">IFERROR(MATCH(E64,{"R1","R2","R3","Beyond"},0),"")</f>
        <v>1</v>
      </c>
      <c r="J64" s="12"/>
      <c r="K64" s="12"/>
    </row>
    <row r="65" customFormat="false" ht="23.85" hidden="false" customHeight="false" outlineLevel="0" collapsed="false">
      <c r="A65" s="19" t="s">
        <v>354</v>
      </c>
      <c r="B65" s="20" t="s">
        <v>320</v>
      </c>
      <c r="C65" s="6" t="s">
        <v>256</v>
      </c>
      <c r="D65" s="6" t="s">
        <v>355</v>
      </c>
      <c r="E65" s="33" t="s">
        <v>573</v>
      </c>
      <c r="F65" s="35" t="s">
        <v>576</v>
      </c>
      <c r="G65" s="6" t="s">
        <v>643</v>
      </c>
      <c r="H65" s="6" t="s">
        <v>357</v>
      </c>
      <c r="I65" s="11" t="n">
        <f aca="false">IFERROR(MATCH(E65,{"R1","R2","R3","Beyond"},0),"")</f>
        <v>1</v>
      </c>
      <c r="J65" s="12"/>
      <c r="K65" s="12"/>
    </row>
    <row r="66" customFormat="false" ht="23.85" hidden="false" customHeight="false" outlineLevel="0" collapsed="false">
      <c r="A66" s="19" t="s">
        <v>358</v>
      </c>
      <c r="B66" s="20" t="s">
        <v>320</v>
      </c>
      <c r="C66" s="6" t="s">
        <v>162</v>
      </c>
      <c r="D66" s="6" t="s">
        <v>359</v>
      </c>
      <c r="E66" s="33" t="s">
        <v>11</v>
      </c>
      <c r="F66" s="37" t="s">
        <v>602</v>
      </c>
      <c r="G66" s="6" t="s">
        <v>644</v>
      </c>
      <c r="H66" s="6" t="s">
        <v>165</v>
      </c>
      <c r="I66" s="11" t="n">
        <f aca="false">IFERROR(MATCH(E66,{"R1","R2","R3","Beyond"},0),"")</f>
        <v>4</v>
      </c>
      <c r="J66" s="12"/>
      <c r="K66" s="12"/>
    </row>
    <row r="67" customFormat="false" ht="23.85" hidden="false" customHeight="false" outlineLevel="0" collapsed="false">
      <c r="A67" s="19" t="s">
        <v>361</v>
      </c>
      <c r="B67" s="20" t="s">
        <v>320</v>
      </c>
      <c r="C67" s="6" t="s">
        <v>118</v>
      </c>
      <c r="D67" s="6" t="s">
        <v>362</v>
      </c>
      <c r="E67" s="33" t="s">
        <v>592</v>
      </c>
      <c r="F67" s="35" t="s">
        <v>576</v>
      </c>
      <c r="G67" s="6" t="s">
        <v>645</v>
      </c>
      <c r="H67" s="6" t="s">
        <v>364</v>
      </c>
      <c r="I67" s="11" t="n">
        <f aca="false">IFERROR(MATCH(E67,{"R1","R2","R3","Beyond"},0),"")</f>
        <v>3</v>
      </c>
      <c r="J67" s="12"/>
      <c r="K67" s="12"/>
    </row>
    <row r="68" customFormat="false" ht="23.85" hidden="false" customHeight="false" outlineLevel="0" collapsed="false">
      <c r="A68" s="19" t="s">
        <v>365</v>
      </c>
      <c r="B68" s="20" t="s">
        <v>320</v>
      </c>
      <c r="C68" s="6" t="s">
        <v>366</v>
      </c>
      <c r="D68" s="6" t="s">
        <v>367</v>
      </c>
      <c r="E68" s="33" t="s">
        <v>585</v>
      </c>
      <c r="F68" s="35" t="s">
        <v>576</v>
      </c>
      <c r="G68" s="6" t="s">
        <v>646</v>
      </c>
      <c r="H68" s="6" t="s">
        <v>369</v>
      </c>
      <c r="I68" s="11" t="n">
        <f aca="false">IFERROR(MATCH(E68,{"R1","R2","R3","Beyond"},0),"")</f>
        <v>2</v>
      </c>
      <c r="J68" s="12"/>
      <c r="K68" s="12"/>
    </row>
    <row r="69" customFormat="false" ht="23.85" hidden="false" customHeight="false" outlineLevel="0" collapsed="false">
      <c r="A69" s="19" t="s">
        <v>370</v>
      </c>
      <c r="B69" s="20" t="s">
        <v>320</v>
      </c>
      <c r="C69" s="6" t="s">
        <v>331</v>
      </c>
      <c r="D69" s="6" t="s">
        <v>371</v>
      </c>
      <c r="E69" s="33" t="s">
        <v>573</v>
      </c>
      <c r="F69" s="35" t="s">
        <v>576</v>
      </c>
      <c r="G69" s="6" t="s">
        <v>647</v>
      </c>
      <c r="H69" s="6" t="s">
        <v>373</v>
      </c>
      <c r="I69" s="11" t="n">
        <f aca="false">IFERROR(MATCH(E69,{"R1","R2","R3","Beyond"},0),"")</f>
        <v>1</v>
      </c>
      <c r="J69" s="12"/>
      <c r="K69" s="12"/>
    </row>
    <row r="70" customFormat="false" ht="23.85" hidden="false" customHeight="false" outlineLevel="0" collapsed="false">
      <c r="A70" s="19" t="s">
        <v>374</v>
      </c>
      <c r="B70" s="20" t="s">
        <v>320</v>
      </c>
      <c r="C70" s="6" t="s">
        <v>214</v>
      </c>
      <c r="D70" s="6" t="s">
        <v>375</v>
      </c>
      <c r="E70" s="33" t="s">
        <v>592</v>
      </c>
      <c r="F70" s="35" t="s">
        <v>576</v>
      </c>
      <c r="G70" s="6" t="s">
        <v>648</v>
      </c>
      <c r="H70" s="6" t="s">
        <v>377</v>
      </c>
      <c r="I70" s="11" t="n">
        <f aca="false">IFERROR(MATCH(E70,{"R1","R2","R3","Beyond"},0),"")</f>
        <v>3</v>
      </c>
      <c r="J70" s="12"/>
      <c r="K70" s="12"/>
    </row>
  </sheetData>
  <autoFilter ref="A4:K70"/>
  <conditionalFormatting sqref="F5:F70">
    <cfRule type="cellIs" priority="2" operator="equal" aboveAverage="0" equalAverage="0" bottom="0" percent="0" rank="0" text="" dxfId="9">
      <formula>"Must"</formula>
    </cfRule>
    <cfRule type="cellIs" priority="3" operator="equal" aboveAverage="0" equalAverage="0" bottom="0" percent="0" rank="0" text="" dxfId="10">
      <formula>"Should"</formula>
    </cfRule>
    <cfRule type="cellIs" priority="4" operator="equal" aboveAverage="0" equalAverage="0" bottom="0" percent="0" rank="0" text="" dxfId="11">
      <formula>"Could"</formula>
    </cfRule>
    <cfRule type="cellIs" priority="5" operator="equal" aboveAverage="0" equalAverage="0" bottom="0" percent="0" rank="0" text="" dxfId="12">
      <formula>"Won't"</formula>
    </cfRule>
  </conditionalFormatting>
  <dataValidations count="3">
    <dataValidation allowBlank="true" errorStyle="stop" operator="between" showDropDown="false" showErrorMessage="false" showInputMessage="false" sqref="J5:J70" type="list">
      <formula1>"Accept,Change,Discuss"</formula1>
      <formula2>0</formula2>
    </dataValidation>
    <dataValidation allowBlank="false" errorStyle="stop" operator="between" showDropDown="false" showErrorMessage="false" showInputMessage="false" sqref="E5:E70" type="list">
      <formula1>"R1,R2,R3,Beyond"</formula1>
      <formula2>0</formula2>
    </dataValidation>
    <dataValidation allowBlank="false" errorStyle="stop" operator="between" showDropDown="false" showErrorMessage="false" showInputMessage="false" sqref="F5:F7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19.7" hidden="false" customHeight="false" outlineLevel="0" collapsed="false">
      <c r="A1" s="1" t="s">
        <v>649</v>
      </c>
    </row>
    <row r="2" customFormat="false" ht="15" hidden="false" customHeight="false" outlineLevel="0" collapsed="false">
      <c r="A2" s="2" t="s">
        <v>650</v>
      </c>
    </row>
    <row r="4" customFormat="false" ht="23.85" hidden="false" customHeight="false" outlineLevel="0" collapsed="false">
      <c r="A4" s="8" t="s">
        <v>57</v>
      </c>
      <c r="B4" s="8" t="s">
        <v>380</v>
      </c>
      <c r="C4" s="8" t="s">
        <v>381</v>
      </c>
      <c r="D4" s="8" t="s">
        <v>58</v>
      </c>
      <c r="E4" s="8" t="s">
        <v>651</v>
      </c>
      <c r="F4" s="8" t="s">
        <v>652</v>
      </c>
      <c r="G4" s="8" t="s">
        <v>653</v>
      </c>
      <c r="H4" s="8" t="s">
        <v>654</v>
      </c>
      <c r="I4" s="8" t="s">
        <v>655</v>
      </c>
      <c r="J4" s="8" t="s">
        <v>656</v>
      </c>
    </row>
    <row r="5" customFormat="false" ht="15" hidden="false" customHeight="false" outlineLevel="0" collapsed="false">
      <c r="A5" s="9" t="s">
        <v>386</v>
      </c>
      <c r="B5" s="10" t="s">
        <v>387</v>
      </c>
      <c r="C5" s="6" t="s">
        <v>388</v>
      </c>
      <c r="D5" s="11" t="s">
        <v>389</v>
      </c>
      <c r="E5" s="33" t="str">
        <f aca="false">IF(_xlfn.MINIFS('M2 Proposal'!$I$5:$I$70,'M2 Proposal'!$H$5:$H$70,"*"&amp;A5&amp;"*")=0,"–",INDEX({"R1","R2","R3","Beyond"},_xlfn.MINIFS('M2 Proposal'!$I$5:$I$70,'M2 Proposal'!$H$5:$H$70,"*"&amp;A5&amp;"*")))</f>
        <v>R1</v>
      </c>
      <c r="F5" s="11" t="n">
        <f aca="false">COUNTIFS('M2 Proposal'!$H$5:$H$70,"*"&amp;A5&amp;"*",'M2 Proposal'!$E$5:$E$70,"R1")</f>
        <v>2</v>
      </c>
      <c r="G5" s="11" t="n">
        <f aca="false">COUNTIFS('M2 Proposal'!$H$5:$H$70,"*"&amp;A5&amp;"*",'M2 Proposal'!$E$5:$E$70,"R2")</f>
        <v>0</v>
      </c>
      <c r="H5" s="11" t="n">
        <f aca="false">COUNTIFS('M2 Proposal'!$H$5:$H$70,"*"&amp;A5&amp;"*",'M2 Proposal'!$E$5:$E$70,"R3")</f>
        <v>0</v>
      </c>
      <c r="I5" s="11" t="n">
        <f aca="false">COUNTIFS('M2 Proposal'!$H$5:$H$70,"*"&amp;A5&amp;"*",'M2 Proposal'!$E$5:$E$70,"Beyond")</f>
        <v>0</v>
      </c>
      <c r="J5" s="6" t="s">
        <v>657</v>
      </c>
    </row>
    <row r="6" customFormat="false" ht="15" hidden="false" customHeight="false" outlineLevel="0" collapsed="false">
      <c r="A6" s="9" t="s">
        <v>392</v>
      </c>
      <c r="B6" s="10" t="s">
        <v>387</v>
      </c>
      <c r="C6" s="6" t="s">
        <v>393</v>
      </c>
      <c r="D6" s="11" t="s">
        <v>389</v>
      </c>
      <c r="E6" s="33" t="str">
        <f aca="false">IF(_xlfn.MINIFS('M2 Proposal'!$I$5:$I$70,'M2 Proposal'!$H$5:$H$70,"*"&amp;A6&amp;"*")=0,"–",INDEX({"R1","R2","R3","Beyond"},_xlfn.MINIFS('M2 Proposal'!$I$5:$I$70,'M2 Proposal'!$H$5:$H$70,"*"&amp;A6&amp;"*")))</f>
        <v>R1</v>
      </c>
      <c r="F6" s="11" t="n">
        <f aca="false">COUNTIFS('M2 Proposal'!$H$5:$H$70,"*"&amp;A6&amp;"*",'M2 Proposal'!$E$5:$E$70,"R1")</f>
        <v>4</v>
      </c>
      <c r="G6" s="11" t="n">
        <f aca="false">COUNTIFS('M2 Proposal'!$H$5:$H$70,"*"&amp;A6&amp;"*",'M2 Proposal'!$E$5:$E$70,"R2")</f>
        <v>1</v>
      </c>
      <c r="H6" s="11" t="n">
        <f aca="false">COUNTIFS('M2 Proposal'!$H$5:$H$70,"*"&amp;A6&amp;"*",'M2 Proposal'!$E$5:$E$70,"R3")</f>
        <v>0</v>
      </c>
      <c r="I6" s="11" t="n">
        <f aca="false">COUNTIFS('M2 Proposal'!$H$5:$H$70,"*"&amp;A6&amp;"*",'M2 Proposal'!$E$5:$E$70,"Beyond")</f>
        <v>0</v>
      </c>
      <c r="J6" s="6" t="s">
        <v>658</v>
      </c>
    </row>
    <row r="7" customFormat="false" ht="15" hidden="false" customHeight="false" outlineLevel="0" collapsed="false">
      <c r="A7" s="9" t="s">
        <v>396</v>
      </c>
      <c r="B7" s="10" t="s">
        <v>387</v>
      </c>
      <c r="C7" s="6" t="s">
        <v>397</v>
      </c>
      <c r="D7" s="11" t="s">
        <v>389</v>
      </c>
      <c r="E7" s="33" t="str">
        <f aca="false">IF(_xlfn.MINIFS('M2 Proposal'!$I$5:$I$70,'M2 Proposal'!$H$5:$H$70,"*"&amp;A7&amp;"*")=0,"–",INDEX({"R1","R2","R3","Beyond"},_xlfn.MINIFS('M2 Proposal'!$I$5:$I$70,'M2 Proposal'!$H$5:$H$70,"*"&amp;A7&amp;"*")))</f>
        <v>R1</v>
      </c>
      <c r="F7" s="11" t="n">
        <f aca="false">COUNTIFS('M2 Proposal'!$H$5:$H$70,"*"&amp;A7&amp;"*",'M2 Proposal'!$E$5:$E$70,"R1")</f>
        <v>1</v>
      </c>
      <c r="G7" s="11" t="n">
        <f aca="false">COUNTIFS('M2 Proposal'!$H$5:$H$70,"*"&amp;A7&amp;"*",'M2 Proposal'!$E$5:$E$70,"R2")</f>
        <v>0</v>
      </c>
      <c r="H7" s="11" t="n">
        <f aca="false">COUNTIFS('M2 Proposal'!$H$5:$H$70,"*"&amp;A7&amp;"*",'M2 Proposal'!$E$5:$E$70,"R3")</f>
        <v>0</v>
      </c>
      <c r="I7" s="11" t="n">
        <f aca="false">COUNTIFS('M2 Proposal'!$H$5:$H$70,"*"&amp;A7&amp;"*",'M2 Proposal'!$E$5:$E$70,"Beyond")</f>
        <v>0</v>
      </c>
      <c r="J7" s="6"/>
    </row>
    <row r="8" customFormat="false" ht="23.85" hidden="false" customHeight="false" outlineLevel="0" collapsed="false">
      <c r="A8" s="9" t="s">
        <v>400</v>
      </c>
      <c r="B8" s="10" t="s">
        <v>387</v>
      </c>
      <c r="C8" s="6" t="s">
        <v>401</v>
      </c>
      <c r="D8" s="11" t="s">
        <v>389</v>
      </c>
      <c r="E8" s="33" t="str">
        <f aca="false">IF(_xlfn.MINIFS('M2 Proposal'!$I$5:$I$70,'M2 Proposal'!$H$5:$H$70,"*"&amp;A8&amp;"*")=0,"–",INDEX({"R1","R2","R3","Beyond"},_xlfn.MINIFS('M2 Proposal'!$I$5:$I$70,'M2 Proposal'!$H$5:$H$70,"*"&amp;A8&amp;"*")))</f>
        <v>R1</v>
      </c>
      <c r="F8" s="11" t="n">
        <f aca="false">COUNTIFS('M2 Proposal'!$H$5:$H$70,"*"&amp;A8&amp;"*",'M2 Proposal'!$E$5:$E$70,"R1")</f>
        <v>6</v>
      </c>
      <c r="G8" s="11" t="n">
        <f aca="false">COUNTIFS('M2 Proposal'!$H$5:$H$70,"*"&amp;A8&amp;"*",'M2 Proposal'!$E$5:$E$70,"R2")</f>
        <v>3</v>
      </c>
      <c r="H8" s="11" t="n">
        <f aca="false">COUNTIFS('M2 Proposal'!$H$5:$H$70,"*"&amp;A8&amp;"*",'M2 Proposal'!$E$5:$E$70,"R3")</f>
        <v>1</v>
      </c>
      <c r="I8" s="11" t="n">
        <f aca="false">COUNTIFS('M2 Proposal'!$H$5:$H$70,"*"&amp;A8&amp;"*",'M2 Proposal'!$E$5:$E$70,"Beyond")</f>
        <v>0</v>
      </c>
      <c r="J8" s="6" t="s">
        <v>659</v>
      </c>
    </row>
    <row r="9" customFormat="false" ht="15" hidden="false" customHeight="false" outlineLevel="0" collapsed="false">
      <c r="A9" s="9" t="s">
        <v>404</v>
      </c>
      <c r="B9" s="10" t="s">
        <v>387</v>
      </c>
      <c r="C9" s="6" t="s">
        <v>405</v>
      </c>
      <c r="D9" s="11" t="s">
        <v>389</v>
      </c>
      <c r="E9" s="33" t="str">
        <f aca="false">IF(_xlfn.MINIFS('M2 Proposal'!$I$5:$I$70,'M2 Proposal'!$H$5:$H$70,"*"&amp;A9&amp;"*")=0,"–",INDEX({"R1","R2","R3","Beyond"},_xlfn.MINIFS('M2 Proposal'!$I$5:$I$70,'M2 Proposal'!$H$5:$H$70,"*"&amp;A9&amp;"*")))</f>
        <v>R1</v>
      </c>
      <c r="F9" s="11" t="n">
        <f aca="false">COUNTIFS('M2 Proposal'!$H$5:$H$70,"*"&amp;A9&amp;"*",'M2 Proposal'!$E$5:$E$70,"R1")</f>
        <v>5</v>
      </c>
      <c r="G9" s="11" t="n">
        <f aca="false">COUNTIFS('M2 Proposal'!$H$5:$H$70,"*"&amp;A9&amp;"*",'M2 Proposal'!$E$5:$E$70,"R2")</f>
        <v>0</v>
      </c>
      <c r="H9" s="11" t="n">
        <f aca="false">COUNTIFS('M2 Proposal'!$H$5:$H$70,"*"&amp;A9&amp;"*",'M2 Proposal'!$E$5:$E$70,"R3")</f>
        <v>0</v>
      </c>
      <c r="I9" s="11" t="n">
        <f aca="false">COUNTIFS('M2 Proposal'!$H$5:$H$70,"*"&amp;A9&amp;"*",'M2 Proposal'!$E$5:$E$70,"Beyond")</f>
        <v>0</v>
      </c>
      <c r="J9" s="6"/>
    </row>
    <row r="10" customFormat="false" ht="15" hidden="false" customHeight="false" outlineLevel="0" collapsed="false">
      <c r="A10" s="9" t="s">
        <v>369</v>
      </c>
      <c r="B10" s="10" t="s">
        <v>387</v>
      </c>
      <c r="C10" s="6" t="s">
        <v>408</v>
      </c>
      <c r="D10" s="11" t="s">
        <v>389</v>
      </c>
      <c r="E10" s="33" t="str">
        <f aca="false">IF(_xlfn.MINIFS('M2 Proposal'!$I$5:$I$70,'M2 Proposal'!$H$5:$H$70,"*"&amp;A10&amp;"*")=0,"–",INDEX({"R1","R2","R3","Beyond"},_xlfn.MINIFS('M2 Proposal'!$I$5:$I$70,'M2 Proposal'!$H$5:$H$70,"*"&amp;A10&amp;"*")))</f>
        <v>R2</v>
      </c>
      <c r="F10" s="11" t="n">
        <f aca="false">COUNTIFS('M2 Proposal'!$H$5:$H$70,"*"&amp;A10&amp;"*",'M2 Proposal'!$E$5:$E$70,"R1")</f>
        <v>0</v>
      </c>
      <c r="G10" s="11" t="n">
        <f aca="false">COUNTIFS('M2 Proposal'!$H$5:$H$70,"*"&amp;A10&amp;"*",'M2 Proposal'!$E$5:$E$70,"R2")</f>
        <v>2</v>
      </c>
      <c r="H10" s="11" t="n">
        <f aca="false">COUNTIFS('M2 Proposal'!$H$5:$H$70,"*"&amp;A10&amp;"*",'M2 Proposal'!$E$5:$E$70,"R3")</f>
        <v>0</v>
      </c>
      <c r="I10" s="11" t="n">
        <f aca="false">COUNTIFS('M2 Proposal'!$H$5:$H$70,"*"&amp;A10&amp;"*",'M2 Proposal'!$E$5:$E$70,"Beyond")</f>
        <v>0</v>
      </c>
      <c r="J10" s="6"/>
    </row>
    <row r="11" customFormat="false" ht="15" hidden="false" customHeight="false" outlineLevel="0" collapsed="false">
      <c r="A11" s="9" t="s">
        <v>147</v>
      </c>
      <c r="B11" s="10" t="s">
        <v>387</v>
      </c>
      <c r="C11" s="6" t="s">
        <v>411</v>
      </c>
      <c r="D11" s="11" t="s">
        <v>389</v>
      </c>
      <c r="E11" s="33" t="str">
        <f aca="false">IF(_xlfn.MINIFS('M2 Proposal'!$I$5:$I$70,'M2 Proposal'!$H$5:$H$70,"*"&amp;A11&amp;"*")=0,"–",INDEX({"R1","R2","R3","Beyond"},_xlfn.MINIFS('M2 Proposal'!$I$5:$I$70,'M2 Proposal'!$H$5:$H$70,"*"&amp;A11&amp;"*")))</f>
        <v>R2</v>
      </c>
      <c r="F11" s="11" t="n">
        <f aca="false">COUNTIFS('M2 Proposal'!$H$5:$H$70,"*"&amp;A11&amp;"*",'M2 Proposal'!$E$5:$E$70,"R1")</f>
        <v>0</v>
      </c>
      <c r="G11" s="11" t="n">
        <f aca="false">COUNTIFS('M2 Proposal'!$H$5:$H$70,"*"&amp;A11&amp;"*",'M2 Proposal'!$E$5:$E$70,"R2")</f>
        <v>2</v>
      </c>
      <c r="H11" s="11" t="n">
        <f aca="false">COUNTIFS('M2 Proposal'!$H$5:$H$70,"*"&amp;A11&amp;"*",'M2 Proposal'!$E$5:$E$70,"R3")</f>
        <v>1</v>
      </c>
      <c r="I11" s="11" t="n">
        <f aca="false">COUNTIFS('M2 Proposal'!$H$5:$H$70,"*"&amp;A11&amp;"*",'M2 Proposal'!$E$5:$E$70,"Beyond")</f>
        <v>0</v>
      </c>
      <c r="J11" s="6"/>
    </row>
    <row r="12" customFormat="false" ht="15" hidden="false" customHeight="false" outlineLevel="0" collapsed="false">
      <c r="A12" s="9" t="s">
        <v>414</v>
      </c>
      <c r="B12" s="10" t="s">
        <v>387</v>
      </c>
      <c r="C12" s="6" t="s">
        <v>415</v>
      </c>
      <c r="D12" s="11" t="s">
        <v>389</v>
      </c>
      <c r="E12" s="33" t="str">
        <f aca="false">IF(_xlfn.MINIFS('M2 Proposal'!$I$5:$I$70,'M2 Proposal'!$H$5:$H$70,"*"&amp;A12&amp;"*")=0,"–",INDEX({"R1","R2","R3","Beyond"},_xlfn.MINIFS('M2 Proposal'!$I$5:$I$70,'M2 Proposal'!$H$5:$H$70,"*"&amp;A12&amp;"*")))</f>
        <v>R2</v>
      </c>
      <c r="F12" s="11" t="n">
        <f aca="false">COUNTIFS('M2 Proposal'!$H$5:$H$70,"*"&amp;A12&amp;"*",'M2 Proposal'!$E$5:$E$70,"R1")</f>
        <v>0</v>
      </c>
      <c r="G12" s="11" t="n">
        <f aca="false">COUNTIFS('M2 Proposal'!$H$5:$H$70,"*"&amp;A12&amp;"*",'M2 Proposal'!$E$5:$E$70,"R2")</f>
        <v>1</v>
      </c>
      <c r="H12" s="11" t="n">
        <f aca="false">COUNTIFS('M2 Proposal'!$H$5:$H$70,"*"&amp;A12&amp;"*",'M2 Proposal'!$E$5:$E$70,"R3")</f>
        <v>1</v>
      </c>
      <c r="I12" s="11" t="n">
        <f aca="false">COUNTIFS('M2 Proposal'!$H$5:$H$70,"*"&amp;A12&amp;"*",'M2 Proposal'!$E$5:$E$70,"Beyond")</f>
        <v>0</v>
      </c>
      <c r="J12" s="6"/>
    </row>
    <row r="13" customFormat="false" ht="15" hidden="false" customHeight="false" outlineLevel="0" collapsed="false">
      <c r="A13" s="9" t="s">
        <v>418</v>
      </c>
      <c r="B13" s="10" t="s">
        <v>387</v>
      </c>
      <c r="C13" s="6" t="s">
        <v>419</v>
      </c>
      <c r="D13" s="11" t="s">
        <v>389</v>
      </c>
      <c r="E13" s="33" t="str">
        <f aca="false">IF(_xlfn.MINIFS('M2 Proposal'!$I$5:$I$70,'M2 Proposal'!$H$5:$H$70,"*"&amp;A13&amp;"*")=0,"–",INDEX({"R1","R2","R3","Beyond"},_xlfn.MINIFS('M2 Proposal'!$I$5:$I$70,'M2 Proposal'!$H$5:$H$70,"*"&amp;A13&amp;"*")))</f>
        <v>R3</v>
      </c>
      <c r="F13" s="11" t="n">
        <f aca="false">COUNTIFS('M2 Proposal'!$H$5:$H$70,"*"&amp;A13&amp;"*",'M2 Proposal'!$E$5:$E$70,"R1")</f>
        <v>0</v>
      </c>
      <c r="G13" s="11" t="n">
        <f aca="false">COUNTIFS('M2 Proposal'!$H$5:$H$70,"*"&amp;A13&amp;"*",'M2 Proposal'!$E$5:$E$70,"R2")</f>
        <v>0</v>
      </c>
      <c r="H13" s="11" t="n">
        <f aca="false">COUNTIFS('M2 Proposal'!$H$5:$H$70,"*"&amp;A13&amp;"*",'M2 Proposal'!$E$5:$E$70,"R3")</f>
        <v>1</v>
      </c>
      <c r="I13" s="11" t="n">
        <f aca="false">COUNTIFS('M2 Proposal'!$H$5:$H$70,"*"&amp;A13&amp;"*",'M2 Proposal'!$E$5:$E$70,"Beyond")</f>
        <v>0</v>
      </c>
      <c r="J13" s="6"/>
    </row>
    <row r="14" customFormat="false" ht="15" hidden="false" customHeight="false" outlineLevel="0" collapsed="false">
      <c r="A14" s="9" t="s">
        <v>422</v>
      </c>
      <c r="B14" s="10" t="s">
        <v>387</v>
      </c>
      <c r="C14" s="6" t="s">
        <v>423</v>
      </c>
      <c r="D14" s="11" t="s">
        <v>389</v>
      </c>
      <c r="E14" s="33" t="str">
        <f aca="false">IF(_xlfn.MINIFS('M2 Proposal'!$I$5:$I$70,'M2 Proposal'!$H$5:$H$70,"*"&amp;A14&amp;"*")=0,"–",INDEX({"R1","R2","R3","Beyond"},_xlfn.MINIFS('M2 Proposal'!$I$5:$I$70,'M2 Proposal'!$H$5:$H$70,"*"&amp;A14&amp;"*")))</f>
        <v>R3</v>
      </c>
      <c r="F14" s="11" t="n">
        <f aca="false">COUNTIFS('M2 Proposal'!$H$5:$H$70,"*"&amp;A14&amp;"*",'M2 Proposal'!$E$5:$E$70,"R1")</f>
        <v>0</v>
      </c>
      <c r="G14" s="11" t="n">
        <f aca="false">COUNTIFS('M2 Proposal'!$H$5:$H$70,"*"&amp;A14&amp;"*",'M2 Proposal'!$E$5:$E$70,"R2")</f>
        <v>0</v>
      </c>
      <c r="H14" s="11" t="n">
        <f aca="false">COUNTIFS('M2 Proposal'!$H$5:$H$70,"*"&amp;A14&amp;"*",'M2 Proposal'!$E$5:$E$70,"R3")</f>
        <v>1</v>
      </c>
      <c r="I14" s="11" t="n">
        <f aca="false">COUNTIFS('M2 Proposal'!$H$5:$H$70,"*"&amp;A14&amp;"*",'M2 Proposal'!$E$5:$E$70,"Beyond")</f>
        <v>0</v>
      </c>
      <c r="J14" s="6"/>
    </row>
    <row r="15" customFormat="false" ht="15" hidden="false" customHeight="false" outlineLevel="0" collapsed="false">
      <c r="A15" s="9" t="s">
        <v>426</v>
      </c>
      <c r="B15" s="10" t="s">
        <v>387</v>
      </c>
      <c r="C15" s="6" t="s">
        <v>427</v>
      </c>
      <c r="D15" s="11" t="s">
        <v>389</v>
      </c>
      <c r="E15" s="33" t="str">
        <f aca="false">IF(_xlfn.MINIFS('M2 Proposal'!$I$5:$I$70,'M2 Proposal'!$H$5:$H$70,"*"&amp;A15&amp;"*")=0,"–",INDEX({"R1","R2","R3","Beyond"},_xlfn.MINIFS('M2 Proposal'!$I$5:$I$70,'M2 Proposal'!$H$5:$H$70,"*"&amp;A15&amp;"*")))</f>
        <v>R3</v>
      </c>
      <c r="F15" s="11" t="n">
        <f aca="false">COUNTIFS('M2 Proposal'!$H$5:$H$70,"*"&amp;A15&amp;"*",'M2 Proposal'!$E$5:$E$70,"R1")</f>
        <v>0</v>
      </c>
      <c r="G15" s="11" t="n">
        <f aca="false">COUNTIFS('M2 Proposal'!$H$5:$H$70,"*"&amp;A15&amp;"*",'M2 Proposal'!$E$5:$E$70,"R2")</f>
        <v>0</v>
      </c>
      <c r="H15" s="11" t="n">
        <f aca="false">COUNTIFS('M2 Proposal'!$H$5:$H$70,"*"&amp;A15&amp;"*",'M2 Proposal'!$E$5:$E$70,"R3")</f>
        <v>2</v>
      </c>
      <c r="I15" s="11" t="n">
        <f aca="false">COUNTIFS('M2 Proposal'!$H$5:$H$70,"*"&amp;A15&amp;"*",'M2 Proposal'!$E$5:$E$70,"Beyond")</f>
        <v>0</v>
      </c>
      <c r="J15" s="6"/>
    </row>
    <row r="16" customFormat="false" ht="15" hidden="false" customHeight="false" outlineLevel="0" collapsed="false">
      <c r="A16" s="9" t="s">
        <v>364</v>
      </c>
      <c r="B16" s="10" t="s">
        <v>387</v>
      </c>
      <c r="C16" s="6" t="s">
        <v>430</v>
      </c>
      <c r="D16" s="11" t="s">
        <v>389</v>
      </c>
      <c r="E16" s="33" t="str">
        <f aca="false">IF(_xlfn.MINIFS('M2 Proposal'!$I$5:$I$70,'M2 Proposal'!$H$5:$H$70,"*"&amp;A16&amp;"*")=0,"–",INDEX({"R1","R2","R3","Beyond"},_xlfn.MINIFS('M2 Proposal'!$I$5:$I$70,'M2 Proposal'!$H$5:$H$70,"*"&amp;A16&amp;"*")))</f>
        <v>R3</v>
      </c>
      <c r="F16" s="11" t="n">
        <f aca="false">COUNTIFS('M2 Proposal'!$H$5:$H$70,"*"&amp;A16&amp;"*",'M2 Proposal'!$E$5:$E$70,"R1")</f>
        <v>0</v>
      </c>
      <c r="G16" s="11" t="n">
        <f aca="false">COUNTIFS('M2 Proposal'!$H$5:$H$70,"*"&amp;A16&amp;"*",'M2 Proposal'!$E$5:$E$70,"R2")</f>
        <v>0</v>
      </c>
      <c r="H16" s="11" t="n">
        <f aca="false">COUNTIFS('M2 Proposal'!$H$5:$H$70,"*"&amp;A16&amp;"*",'M2 Proposal'!$E$5:$E$70,"R3")</f>
        <v>2</v>
      </c>
      <c r="I16" s="11" t="n">
        <f aca="false">COUNTIFS('M2 Proposal'!$H$5:$H$70,"*"&amp;A16&amp;"*",'M2 Proposal'!$E$5:$E$70,"Beyond")</f>
        <v>0</v>
      </c>
      <c r="J16" s="6"/>
    </row>
    <row r="17" customFormat="false" ht="15" hidden="false" customHeight="false" outlineLevel="0" collapsed="false">
      <c r="A17" s="15" t="s">
        <v>433</v>
      </c>
      <c r="B17" s="16" t="s">
        <v>434</v>
      </c>
      <c r="C17" s="6" t="s">
        <v>435</v>
      </c>
      <c r="D17" s="11" t="s">
        <v>436</v>
      </c>
      <c r="E17" s="33" t="str">
        <f aca="false">IF(_xlfn.MINIFS('M2 Proposal'!$I$5:$I$70,'M2 Proposal'!$H$5:$H$70,"*"&amp;A17&amp;"*")=0,"–",INDEX({"R1","R2","R3","Beyond"},_xlfn.MINIFS('M2 Proposal'!$I$5:$I$70,'M2 Proposal'!$H$5:$H$70,"*"&amp;A17&amp;"*")))</f>
        <v>R1</v>
      </c>
      <c r="F17" s="11" t="n">
        <f aca="false">COUNTIFS('M2 Proposal'!$H$5:$H$70,"*"&amp;A17&amp;"*",'M2 Proposal'!$E$5:$E$70,"R1")</f>
        <v>3</v>
      </c>
      <c r="G17" s="11" t="n">
        <f aca="false">COUNTIFS('M2 Proposal'!$H$5:$H$70,"*"&amp;A17&amp;"*",'M2 Proposal'!$E$5:$E$70,"R2")</f>
        <v>0</v>
      </c>
      <c r="H17" s="11" t="n">
        <f aca="false">COUNTIFS('M2 Proposal'!$H$5:$H$70,"*"&amp;A17&amp;"*",'M2 Proposal'!$E$5:$E$70,"R3")</f>
        <v>0</v>
      </c>
      <c r="I17" s="11" t="n">
        <f aca="false">COUNTIFS('M2 Proposal'!$H$5:$H$70,"*"&amp;A17&amp;"*",'M2 Proposal'!$E$5:$E$70,"Beyond")</f>
        <v>0</v>
      </c>
      <c r="J17" s="6" t="s">
        <v>660</v>
      </c>
    </row>
    <row r="18" customFormat="false" ht="15" hidden="false" customHeight="false" outlineLevel="0" collapsed="false">
      <c r="A18" s="15" t="s">
        <v>439</v>
      </c>
      <c r="B18" s="16" t="s">
        <v>434</v>
      </c>
      <c r="C18" s="6" t="s">
        <v>440</v>
      </c>
      <c r="D18" s="11" t="s">
        <v>436</v>
      </c>
      <c r="E18" s="33" t="str">
        <f aca="false">IF(_xlfn.MINIFS('M2 Proposal'!$I$5:$I$70,'M2 Proposal'!$H$5:$H$70,"*"&amp;A18&amp;"*")=0,"–",INDEX({"R1","R2","R3","Beyond"},_xlfn.MINIFS('M2 Proposal'!$I$5:$I$70,'M2 Proposal'!$H$5:$H$70,"*"&amp;A18&amp;"*")))</f>
        <v>R1</v>
      </c>
      <c r="F18" s="11" t="n">
        <f aca="false">COUNTIFS('M2 Proposal'!$H$5:$H$70,"*"&amp;A18&amp;"*",'M2 Proposal'!$E$5:$E$70,"R1")</f>
        <v>6</v>
      </c>
      <c r="G18" s="11" t="n">
        <f aca="false">COUNTIFS('M2 Proposal'!$H$5:$H$70,"*"&amp;A18&amp;"*",'M2 Proposal'!$E$5:$E$70,"R2")</f>
        <v>0</v>
      </c>
      <c r="H18" s="11" t="n">
        <f aca="false">COUNTIFS('M2 Proposal'!$H$5:$H$70,"*"&amp;A18&amp;"*",'M2 Proposal'!$E$5:$E$70,"R3")</f>
        <v>1</v>
      </c>
      <c r="I18" s="11" t="n">
        <f aca="false">COUNTIFS('M2 Proposal'!$H$5:$H$70,"*"&amp;A18&amp;"*",'M2 Proposal'!$E$5:$E$70,"Beyond")</f>
        <v>0</v>
      </c>
      <c r="J18" s="6"/>
    </row>
    <row r="19" customFormat="false" ht="15" hidden="false" customHeight="false" outlineLevel="0" collapsed="false">
      <c r="A19" s="15" t="s">
        <v>443</v>
      </c>
      <c r="B19" s="16" t="s">
        <v>434</v>
      </c>
      <c r="C19" s="6" t="s">
        <v>444</v>
      </c>
      <c r="D19" s="11" t="s">
        <v>436</v>
      </c>
      <c r="E19" s="33" t="str">
        <f aca="false">IF(_xlfn.MINIFS('M2 Proposal'!$I$5:$I$70,'M2 Proposal'!$H$5:$H$70,"*"&amp;A19&amp;"*")=0,"–",INDEX({"R1","R2","R3","Beyond"},_xlfn.MINIFS('M2 Proposal'!$I$5:$I$70,'M2 Proposal'!$H$5:$H$70,"*"&amp;A19&amp;"*")))</f>
        <v>R1</v>
      </c>
      <c r="F19" s="11" t="n">
        <f aca="false">COUNTIFS('M2 Proposal'!$H$5:$H$70,"*"&amp;A19&amp;"*",'M2 Proposal'!$E$5:$E$70,"R1")</f>
        <v>1</v>
      </c>
      <c r="G19" s="11" t="n">
        <f aca="false">COUNTIFS('M2 Proposal'!$H$5:$H$70,"*"&amp;A19&amp;"*",'M2 Proposal'!$E$5:$E$70,"R2")</f>
        <v>1</v>
      </c>
      <c r="H19" s="11" t="n">
        <f aca="false">COUNTIFS('M2 Proposal'!$H$5:$H$70,"*"&amp;A19&amp;"*",'M2 Proposal'!$E$5:$E$70,"R3")</f>
        <v>0</v>
      </c>
      <c r="I19" s="11" t="n">
        <f aca="false">COUNTIFS('M2 Proposal'!$H$5:$H$70,"*"&amp;A19&amp;"*",'M2 Proposal'!$E$5:$E$70,"Beyond")</f>
        <v>0</v>
      </c>
      <c r="J19" s="6" t="s">
        <v>661</v>
      </c>
    </row>
    <row r="20" customFormat="false" ht="15" hidden="false" customHeight="false" outlineLevel="0" collapsed="false">
      <c r="A20" s="15" t="s">
        <v>447</v>
      </c>
      <c r="B20" s="16" t="s">
        <v>434</v>
      </c>
      <c r="C20" s="6" t="s">
        <v>448</v>
      </c>
      <c r="D20" s="11" t="s">
        <v>436</v>
      </c>
      <c r="E20" s="33" t="str">
        <f aca="false">IF(_xlfn.MINIFS('M2 Proposal'!$I$5:$I$70,'M2 Proposal'!$H$5:$H$70,"*"&amp;A20&amp;"*")=0,"–",INDEX({"R1","R2","R3","Beyond"},_xlfn.MINIFS('M2 Proposal'!$I$5:$I$70,'M2 Proposal'!$H$5:$H$70,"*"&amp;A20&amp;"*")))</f>
        <v>R1</v>
      </c>
      <c r="F20" s="11" t="n">
        <f aca="false">COUNTIFS('M2 Proposal'!$H$5:$H$70,"*"&amp;A20&amp;"*",'M2 Proposal'!$E$5:$E$70,"R1")</f>
        <v>2</v>
      </c>
      <c r="G20" s="11" t="n">
        <f aca="false">COUNTIFS('M2 Proposal'!$H$5:$H$70,"*"&amp;A20&amp;"*",'M2 Proposal'!$E$5:$E$70,"R2")</f>
        <v>0</v>
      </c>
      <c r="H20" s="11" t="n">
        <f aca="false">COUNTIFS('M2 Proposal'!$H$5:$H$70,"*"&amp;A20&amp;"*",'M2 Proposal'!$E$5:$E$70,"R3")</f>
        <v>3</v>
      </c>
      <c r="I20" s="11" t="n">
        <f aca="false">COUNTIFS('M2 Proposal'!$H$5:$H$70,"*"&amp;A20&amp;"*",'M2 Proposal'!$E$5:$E$70,"Beyond")</f>
        <v>0</v>
      </c>
      <c r="J20" s="6"/>
    </row>
    <row r="21" customFormat="false" ht="15" hidden="false" customHeight="false" outlineLevel="0" collapsed="false">
      <c r="A21" s="7" t="s">
        <v>451</v>
      </c>
      <c r="B21" s="12" t="s">
        <v>452</v>
      </c>
      <c r="C21" s="6" t="s">
        <v>453</v>
      </c>
      <c r="D21" s="11" t="s">
        <v>454</v>
      </c>
      <c r="E21" s="33" t="str">
        <f aca="false">IF(_xlfn.MINIFS('M2 Proposal'!$I$5:$I$70,'M2 Proposal'!$H$5:$H$70,"*"&amp;A21&amp;"*")=0,"–",INDEX({"R1","R2","R3","Beyond"},_xlfn.MINIFS('M2 Proposal'!$I$5:$I$70,'M2 Proposal'!$H$5:$H$70,"*"&amp;A21&amp;"*")))</f>
        <v>R1</v>
      </c>
      <c r="F21" s="11" t="n">
        <f aca="false">COUNTIFS('M2 Proposal'!$H$5:$H$70,"*"&amp;A21&amp;"*",'M2 Proposal'!$E$5:$E$70,"R1")</f>
        <v>5</v>
      </c>
      <c r="G21" s="11" t="n">
        <f aca="false">COUNTIFS('M2 Proposal'!$H$5:$H$70,"*"&amp;A21&amp;"*",'M2 Proposal'!$E$5:$E$70,"R2")</f>
        <v>0</v>
      </c>
      <c r="H21" s="11" t="n">
        <f aca="false">COUNTIFS('M2 Proposal'!$H$5:$H$70,"*"&amp;A21&amp;"*",'M2 Proposal'!$E$5:$E$70,"R3")</f>
        <v>1</v>
      </c>
      <c r="I21" s="11" t="n">
        <f aca="false">COUNTIFS('M2 Proposal'!$H$5:$H$70,"*"&amp;A21&amp;"*",'M2 Proposal'!$E$5:$E$70,"Beyond")</f>
        <v>0</v>
      </c>
      <c r="J21" s="6" t="s">
        <v>662</v>
      </c>
    </row>
    <row r="22" customFormat="false" ht="15" hidden="false" customHeight="false" outlineLevel="0" collapsed="false">
      <c r="A22" s="7" t="s">
        <v>457</v>
      </c>
      <c r="B22" s="12" t="s">
        <v>452</v>
      </c>
      <c r="C22" s="6" t="s">
        <v>458</v>
      </c>
      <c r="D22" s="11" t="s">
        <v>454</v>
      </c>
      <c r="E22" s="33" t="str">
        <f aca="false">IF(_xlfn.MINIFS('M2 Proposal'!$I$5:$I$70,'M2 Proposal'!$H$5:$H$70,"*"&amp;A22&amp;"*")=0,"–",INDEX({"R1","R2","R3","Beyond"},_xlfn.MINIFS('M2 Proposal'!$I$5:$I$70,'M2 Proposal'!$H$5:$H$70,"*"&amp;A22&amp;"*")))</f>
        <v>R1</v>
      </c>
      <c r="F22" s="11" t="n">
        <f aca="false">COUNTIFS('M2 Proposal'!$H$5:$H$70,"*"&amp;A22&amp;"*",'M2 Proposal'!$E$5:$E$70,"R1")</f>
        <v>2</v>
      </c>
      <c r="G22" s="11" t="n">
        <f aca="false">COUNTIFS('M2 Proposal'!$H$5:$H$70,"*"&amp;A22&amp;"*",'M2 Proposal'!$E$5:$E$70,"R2")</f>
        <v>0</v>
      </c>
      <c r="H22" s="11" t="n">
        <f aca="false">COUNTIFS('M2 Proposal'!$H$5:$H$70,"*"&amp;A22&amp;"*",'M2 Proposal'!$E$5:$E$70,"R3")</f>
        <v>0</v>
      </c>
      <c r="I22" s="11" t="n">
        <f aca="false">COUNTIFS('M2 Proposal'!$H$5:$H$70,"*"&amp;A22&amp;"*",'M2 Proposal'!$E$5:$E$70,"Beyond")</f>
        <v>0</v>
      </c>
      <c r="J22" s="6"/>
    </row>
    <row r="23" customFormat="false" ht="15" hidden="false" customHeight="false" outlineLevel="0" collapsed="false">
      <c r="A23" s="7" t="s">
        <v>461</v>
      </c>
      <c r="B23" s="12" t="s">
        <v>452</v>
      </c>
      <c r="C23" s="6" t="s">
        <v>462</v>
      </c>
      <c r="D23" s="11" t="s">
        <v>454</v>
      </c>
      <c r="E23" s="33" t="str">
        <f aca="false">IF(_xlfn.MINIFS('M2 Proposal'!$I$5:$I$70,'M2 Proposal'!$H$5:$H$70,"*"&amp;A23&amp;"*")=0,"–",INDEX({"R1","R2","R3","Beyond"},_xlfn.MINIFS('M2 Proposal'!$I$5:$I$70,'M2 Proposal'!$H$5:$H$70,"*"&amp;A23&amp;"*")))</f>
        <v>R1</v>
      </c>
      <c r="F23" s="11" t="n">
        <f aca="false">COUNTIFS('M2 Proposal'!$H$5:$H$70,"*"&amp;A23&amp;"*",'M2 Proposal'!$E$5:$E$70,"R1")</f>
        <v>1</v>
      </c>
      <c r="G23" s="11" t="n">
        <f aca="false">COUNTIFS('M2 Proposal'!$H$5:$H$70,"*"&amp;A23&amp;"*",'M2 Proposal'!$E$5:$E$70,"R2")</f>
        <v>0</v>
      </c>
      <c r="H23" s="11" t="n">
        <f aca="false">COUNTIFS('M2 Proposal'!$H$5:$H$70,"*"&amp;A23&amp;"*",'M2 Proposal'!$E$5:$E$70,"R3")</f>
        <v>0</v>
      </c>
      <c r="I23" s="11" t="n">
        <f aca="false">COUNTIFS('M2 Proposal'!$H$5:$H$70,"*"&amp;A23&amp;"*",'M2 Proposal'!$E$5:$E$70,"Beyond")</f>
        <v>0</v>
      </c>
      <c r="J23" s="6"/>
    </row>
    <row r="24" customFormat="false" ht="15" hidden="false" customHeight="false" outlineLevel="0" collapsed="false">
      <c r="A24" s="7" t="s">
        <v>465</v>
      </c>
      <c r="B24" s="12" t="s">
        <v>452</v>
      </c>
      <c r="C24" s="6" t="s">
        <v>466</v>
      </c>
      <c r="D24" s="11" t="s">
        <v>454</v>
      </c>
      <c r="E24" s="33" t="str">
        <f aca="false">IF(_xlfn.MINIFS('M2 Proposal'!$I$5:$I$70,'M2 Proposal'!$H$5:$H$70,"*"&amp;A24&amp;"*")=0,"–",INDEX({"R1","R2","R3","Beyond"},_xlfn.MINIFS('M2 Proposal'!$I$5:$I$70,'M2 Proposal'!$H$5:$H$70,"*"&amp;A24&amp;"*")))</f>
        <v>R2</v>
      </c>
      <c r="F24" s="11" t="n">
        <f aca="false">COUNTIFS('M2 Proposal'!$H$5:$H$70,"*"&amp;A24&amp;"*",'M2 Proposal'!$E$5:$E$70,"R1")</f>
        <v>0</v>
      </c>
      <c r="G24" s="11" t="n">
        <f aca="false">COUNTIFS('M2 Proposal'!$H$5:$H$70,"*"&amp;A24&amp;"*",'M2 Proposal'!$E$5:$E$70,"R2")</f>
        <v>1</v>
      </c>
      <c r="H24" s="11" t="n">
        <f aca="false">COUNTIFS('M2 Proposal'!$H$5:$H$70,"*"&amp;A24&amp;"*",'M2 Proposal'!$E$5:$E$70,"R3")</f>
        <v>0</v>
      </c>
      <c r="I24" s="11" t="n">
        <f aca="false">COUNTIFS('M2 Proposal'!$H$5:$H$70,"*"&amp;A24&amp;"*",'M2 Proposal'!$E$5:$E$70,"Beyond")</f>
        <v>0</v>
      </c>
      <c r="J24" s="6"/>
    </row>
    <row r="25" customFormat="false" ht="15" hidden="false" customHeight="false" outlineLevel="0" collapsed="false">
      <c r="A25" s="7" t="s">
        <v>469</v>
      </c>
      <c r="B25" s="12" t="s">
        <v>452</v>
      </c>
      <c r="C25" s="6" t="s">
        <v>470</v>
      </c>
      <c r="D25" s="11" t="s">
        <v>454</v>
      </c>
      <c r="E25" s="33" t="str">
        <f aca="false">IF(_xlfn.MINIFS('M2 Proposal'!$I$5:$I$70,'M2 Proposal'!$H$5:$H$70,"*"&amp;A25&amp;"*")=0,"–",INDEX({"R1","R2","R3","Beyond"},_xlfn.MINIFS('M2 Proposal'!$I$5:$I$70,'M2 Proposal'!$H$5:$H$70,"*"&amp;A25&amp;"*")))</f>
        <v>R3</v>
      </c>
      <c r="F25" s="11" t="n">
        <f aca="false">COUNTIFS('M2 Proposal'!$H$5:$H$70,"*"&amp;A25&amp;"*",'M2 Proposal'!$E$5:$E$70,"R1")</f>
        <v>0</v>
      </c>
      <c r="G25" s="11" t="n">
        <f aca="false">COUNTIFS('M2 Proposal'!$H$5:$H$70,"*"&amp;A25&amp;"*",'M2 Proposal'!$E$5:$E$70,"R2")</f>
        <v>0</v>
      </c>
      <c r="H25" s="11" t="n">
        <f aca="false">COUNTIFS('M2 Proposal'!$H$5:$H$70,"*"&amp;A25&amp;"*",'M2 Proposal'!$E$5:$E$70,"R3")</f>
        <v>1</v>
      </c>
      <c r="I25" s="11" t="n">
        <f aca="false">COUNTIFS('M2 Proposal'!$H$5:$H$70,"*"&amp;A25&amp;"*",'M2 Proposal'!$E$5:$E$70,"Beyond")</f>
        <v>0</v>
      </c>
      <c r="J25" s="6"/>
    </row>
    <row r="26" customFormat="false" ht="15" hidden="false" customHeight="false" outlineLevel="0" collapsed="false">
      <c r="A26" s="13" t="s">
        <v>473</v>
      </c>
      <c r="B26" s="14" t="s">
        <v>474</v>
      </c>
      <c r="C26" s="6" t="s">
        <v>475</v>
      </c>
      <c r="D26" s="11" t="s">
        <v>436</v>
      </c>
      <c r="E26" s="33" t="str">
        <f aca="false">IF(_xlfn.MINIFS('M2 Proposal'!$I$5:$I$70,'M2 Proposal'!$H$5:$H$70,"*"&amp;A26&amp;"*")=0,"–",INDEX({"R1","R2","R3","Beyond"},_xlfn.MINIFS('M2 Proposal'!$I$5:$I$70,'M2 Proposal'!$H$5:$H$70,"*"&amp;A26&amp;"*")))</f>
        <v>R1</v>
      </c>
      <c r="F26" s="11" t="n">
        <f aca="false">COUNTIFS('M2 Proposal'!$H$5:$H$70,"*"&amp;A26&amp;"*",'M2 Proposal'!$E$5:$E$70,"R1")</f>
        <v>2</v>
      </c>
      <c r="G26" s="11" t="n">
        <f aca="false">COUNTIFS('M2 Proposal'!$H$5:$H$70,"*"&amp;A26&amp;"*",'M2 Proposal'!$E$5:$E$70,"R2")</f>
        <v>0</v>
      </c>
      <c r="H26" s="11" t="n">
        <f aca="false">COUNTIFS('M2 Proposal'!$H$5:$H$70,"*"&amp;A26&amp;"*",'M2 Proposal'!$E$5:$E$70,"R3")</f>
        <v>0</v>
      </c>
      <c r="I26" s="11" t="n">
        <f aca="false">COUNTIFS('M2 Proposal'!$H$5:$H$70,"*"&amp;A26&amp;"*",'M2 Proposal'!$E$5:$E$70,"Beyond")</f>
        <v>0</v>
      </c>
      <c r="J26" s="6"/>
    </row>
    <row r="27" customFormat="false" ht="15" hidden="false" customHeight="false" outlineLevel="0" collapsed="false">
      <c r="A27" s="13" t="s">
        <v>478</v>
      </c>
      <c r="B27" s="14" t="s">
        <v>474</v>
      </c>
      <c r="C27" s="6" t="s">
        <v>479</v>
      </c>
      <c r="D27" s="11" t="s">
        <v>436</v>
      </c>
      <c r="E27" s="33" t="str">
        <f aca="false">IF(_xlfn.MINIFS('M2 Proposal'!$I$5:$I$70,'M2 Proposal'!$H$5:$H$70,"*"&amp;A27&amp;"*")=0,"–",INDEX({"R1","R2","R3","Beyond"},_xlfn.MINIFS('M2 Proposal'!$I$5:$I$70,'M2 Proposal'!$H$5:$H$70,"*"&amp;A27&amp;"*")))</f>
        <v>R1</v>
      </c>
      <c r="F27" s="11" t="n">
        <f aca="false">COUNTIFS('M2 Proposal'!$H$5:$H$70,"*"&amp;A27&amp;"*",'M2 Proposal'!$E$5:$E$70,"R1")</f>
        <v>7</v>
      </c>
      <c r="G27" s="11" t="n">
        <f aca="false">COUNTIFS('M2 Proposal'!$H$5:$H$70,"*"&amp;A27&amp;"*",'M2 Proposal'!$E$5:$E$70,"R2")</f>
        <v>0</v>
      </c>
      <c r="H27" s="11" t="n">
        <f aca="false">COUNTIFS('M2 Proposal'!$H$5:$H$70,"*"&amp;A27&amp;"*",'M2 Proposal'!$E$5:$E$70,"R3")</f>
        <v>1</v>
      </c>
      <c r="I27" s="11" t="n">
        <f aca="false">COUNTIFS('M2 Proposal'!$H$5:$H$70,"*"&amp;A27&amp;"*",'M2 Proposal'!$E$5:$E$70,"Beyond")</f>
        <v>0</v>
      </c>
      <c r="J27" s="6"/>
    </row>
    <row r="28" customFormat="false" ht="23.85" hidden="false" customHeight="false" outlineLevel="0" collapsed="false">
      <c r="A28" s="13" t="s">
        <v>482</v>
      </c>
      <c r="B28" s="14" t="s">
        <v>474</v>
      </c>
      <c r="C28" s="6" t="s">
        <v>483</v>
      </c>
      <c r="D28" s="11" t="s">
        <v>436</v>
      </c>
      <c r="E28" s="33" t="str">
        <f aca="false">IF(_xlfn.MINIFS('M2 Proposal'!$I$5:$I$70,'M2 Proposal'!$H$5:$H$70,"*"&amp;A28&amp;"*")=0,"–",INDEX({"R1","R2","R3","Beyond"},_xlfn.MINIFS('M2 Proposal'!$I$5:$I$70,'M2 Proposal'!$H$5:$H$70,"*"&amp;A28&amp;"*")))</f>
        <v>R1</v>
      </c>
      <c r="F28" s="11" t="n">
        <f aca="false">COUNTIFS('M2 Proposal'!$H$5:$H$70,"*"&amp;A28&amp;"*",'M2 Proposal'!$E$5:$E$70,"R1")</f>
        <v>16</v>
      </c>
      <c r="G28" s="11" t="n">
        <f aca="false">COUNTIFS('M2 Proposal'!$H$5:$H$70,"*"&amp;A28&amp;"*",'M2 Proposal'!$E$5:$E$70,"R2")</f>
        <v>1</v>
      </c>
      <c r="H28" s="11" t="n">
        <f aca="false">COUNTIFS('M2 Proposal'!$H$5:$H$70,"*"&amp;A28&amp;"*",'M2 Proposal'!$E$5:$E$70,"R3")</f>
        <v>1</v>
      </c>
      <c r="I28" s="11" t="n">
        <f aca="false">COUNTIFS('M2 Proposal'!$H$5:$H$70,"*"&amp;A28&amp;"*",'M2 Proposal'!$E$5:$E$70,"Beyond")</f>
        <v>1</v>
      </c>
      <c r="J28" s="6" t="s">
        <v>663</v>
      </c>
    </row>
    <row r="29" customFormat="false" ht="15" hidden="false" customHeight="false" outlineLevel="0" collapsed="false">
      <c r="A29" s="13" t="s">
        <v>486</v>
      </c>
      <c r="B29" s="14" t="s">
        <v>474</v>
      </c>
      <c r="C29" s="6" t="s">
        <v>487</v>
      </c>
      <c r="D29" s="11" t="s">
        <v>436</v>
      </c>
      <c r="E29" s="33" t="str">
        <f aca="false">IF(_xlfn.MINIFS('M2 Proposal'!$I$5:$I$70,'M2 Proposal'!$H$5:$H$70,"*"&amp;A29&amp;"*")=0,"–",INDEX({"R1","R2","R3","Beyond"},_xlfn.MINIFS('M2 Proposal'!$I$5:$I$70,'M2 Proposal'!$H$5:$H$70,"*"&amp;A29&amp;"*")))</f>
        <v>R1</v>
      </c>
      <c r="F29" s="11" t="n">
        <f aca="false">COUNTIFS('M2 Proposal'!$H$5:$H$70,"*"&amp;A29&amp;"*",'M2 Proposal'!$E$5:$E$70,"R1")</f>
        <v>2</v>
      </c>
      <c r="G29" s="11" t="n">
        <f aca="false">COUNTIFS('M2 Proposal'!$H$5:$H$70,"*"&amp;A29&amp;"*",'M2 Proposal'!$E$5:$E$70,"R2")</f>
        <v>0</v>
      </c>
      <c r="H29" s="11" t="n">
        <f aca="false">COUNTIFS('M2 Proposal'!$H$5:$H$70,"*"&amp;A29&amp;"*",'M2 Proposal'!$E$5:$E$70,"R3")</f>
        <v>0</v>
      </c>
      <c r="I29" s="11" t="n">
        <f aca="false">COUNTIFS('M2 Proposal'!$H$5:$H$70,"*"&amp;A29&amp;"*",'M2 Proposal'!$E$5:$E$70,"Beyond")</f>
        <v>0</v>
      </c>
      <c r="J29" s="6"/>
    </row>
    <row r="30" customFormat="false" ht="15" hidden="false" customHeight="false" outlineLevel="0" collapsed="false">
      <c r="A30" s="13" t="s">
        <v>490</v>
      </c>
      <c r="B30" s="14" t="s">
        <v>474</v>
      </c>
      <c r="C30" s="6" t="s">
        <v>491</v>
      </c>
      <c r="D30" s="11" t="s">
        <v>436</v>
      </c>
      <c r="E30" s="33" t="str">
        <f aca="false">IF(_xlfn.MINIFS('M2 Proposal'!$I$5:$I$70,'M2 Proposal'!$H$5:$H$70,"*"&amp;A30&amp;"*")=0,"–",INDEX({"R1","R2","R3","Beyond"},_xlfn.MINIFS('M2 Proposal'!$I$5:$I$70,'M2 Proposal'!$H$5:$H$70,"*"&amp;A30&amp;"*")))</f>
        <v>R1</v>
      </c>
      <c r="F30" s="11" t="n">
        <f aca="false">COUNTIFS('M2 Proposal'!$H$5:$H$70,"*"&amp;A30&amp;"*",'M2 Proposal'!$E$5:$E$70,"R1")</f>
        <v>2</v>
      </c>
      <c r="G30" s="11" t="n">
        <f aca="false">COUNTIFS('M2 Proposal'!$H$5:$H$70,"*"&amp;A30&amp;"*",'M2 Proposal'!$E$5:$E$70,"R2")</f>
        <v>0</v>
      </c>
      <c r="H30" s="11" t="n">
        <f aca="false">COUNTIFS('M2 Proposal'!$H$5:$H$70,"*"&amp;A30&amp;"*",'M2 Proposal'!$E$5:$E$70,"R3")</f>
        <v>0</v>
      </c>
      <c r="I30" s="11" t="n">
        <f aca="false">COUNTIFS('M2 Proposal'!$H$5:$H$70,"*"&amp;A30&amp;"*",'M2 Proposal'!$E$5:$E$70,"Beyond")</f>
        <v>0</v>
      </c>
      <c r="J30" s="6"/>
    </row>
    <row r="31" customFormat="false" ht="15" hidden="false" customHeight="false" outlineLevel="0" collapsed="false">
      <c r="A31" s="13" t="s">
        <v>357</v>
      </c>
      <c r="B31" s="14" t="s">
        <v>474</v>
      </c>
      <c r="C31" s="6" t="s">
        <v>494</v>
      </c>
      <c r="D31" s="11" t="s">
        <v>436</v>
      </c>
      <c r="E31" s="33" t="str">
        <f aca="false">IF(_xlfn.MINIFS('M2 Proposal'!$I$5:$I$70,'M2 Proposal'!$H$5:$H$70,"*"&amp;A31&amp;"*")=0,"–",INDEX({"R1","R2","R3","Beyond"},_xlfn.MINIFS('M2 Proposal'!$I$5:$I$70,'M2 Proposal'!$H$5:$H$70,"*"&amp;A31&amp;"*")))</f>
        <v>R1</v>
      </c>
      <c r="F31" s="11" t="n">
        <f aca="false">COUNTIFS('M2 Proposal'!$H$5:$H$70,"*"&amp;A31&amp;"*",'M2 Proposal'!$E$5:$E$70,"R1")</f>
        <v>2</v>
      </c>
      <c r="G31" s="11" t="n">
        <f aca="false">COUNTIFS('M2 Proposal'!$H$5:$H$70,"*"&amp;A31&amp;"*",'M2 Proposal'!$E$5:$E$70,"R2")</f>
        <v>0</v>
      </c>
      <c r="H31" s="11" t="n">
        <f aca="false">COUNTIFS('M2 Proposal'!$H$5:$H$70,"*"&amp;A31&amp;"*",'M2 Proposal'!$E$5:$E$70,"R3")</f>
        <v>0</v>
      </c>
      <c r="I31" s="11" t="n">
        <f aca="false">COUNTIFS('M2 Proposal'!$H$5:$H$70,"*"&amp;A31&amp;"*",'M2 Proposal'!$E$5:$E$70,"Beyond")</f>
        <v>0</v>
      </c>
      <c r="J31" s="6"/>
    </row>
    <row r="32" customFormat="false" ht="15" hidden="false" customHeight="false" outlineLevel="0" collapsed="false">
      <c r="A32" s="13" t="s">
        <v>497</v>
      </c>
      <c r="B32" s="14" t="s">
        <v>474</v>
      </c>
      <c r="C32" s="6" t="s">
        <v>498</v>
      </c>
      <c r="D32" s="11" t="s">
        <v>436</v>
      </c>
      <c r="E32" s="33" t="str">
        <f aca="false">IF(_xlfn.MINIFS('M2 Proposal'!$I$5:$I$70,'M2 Proposal'!$H$5:$H$70,"*"&amp;A32&amp;"*")=0,"–",INDEX({"R1","R2","R3","Beyond"},_xlfn.MINIFS('M2 Proposal'!$I$5:$I$70,'M2 Proposal'!$H$5:$H$70,"*"&amp;A32&amp;"*")))</f>
        <v>R1</v>
      </c>
      <c r="F32" s="11" t="n">
        <f aca="false">COUNTIFS('M2 Proposal'!$H$5:$H$70,"*"&amp;A32&amp;"*",'M2 Proposal'!$E$5:$E$70,"R1")</f>
        <v>1</v>
      </c>
      <c r="G32" s="11" t="n">
        <f aca="false">COUNTIFS('M2 Proposal'!$H$5:$H$70,"*"&amp;A32&amp;"*",'M2 Proposal'!$E$5:$E$70,"R2")</f>
        <v>1</v>
      </c>
      <c r="H32" s="11" t="n">
        <f aca="false">COUNTIFS('M2 Proposal'!$H$5:$H$70,"*"&amp;A32&amp;"*",'M2 Proposal'!$E$5:$E$70,"R3")</f>
        <v>0</v>
      </c>
      <c r="I32" s="11" t="n">
        <f aca="false">COUNTIFS('M2 Proposal'!$H$5:$H$70,"*"&amp;A32&amp;"*",'M2 Proposal'!$E$5:$E$70,"Beyond")</f>
        <v>1</v>
      </c>
      <c r="J32" s="6"/>
    </row>
    <row r="33" customFormat="false" ht="15" hidden="false" customHeight="false" outlineLevel="0" collapsed="false">
      <c r="A33" s="13" t="s">
        <v>501</v>
      </c>
      <c r="B33" s="14" t="s">
        <v>474</v>
      </c>
      <c r="C33" s="6" t="s">
        <v>502</v>
      </c>
      <c r="D33" s="11" t="s">
        <v>436</v>
      </c>
      <c r="E33" s="33" t="str">
        <f aca="false">IF(_xlfn.MINIFS('M2 Proposal'!$I$5:$I$70,'M2 Proposal'!$H$5:$H$70,"*"&amp;A33&amp;"*")=0,"–",INDEX({"R1","R2","R3","Beyond"},_xlfn.MINIFS('M2 Proposal'!$I$5:$I$70,'M2 Proposal'!$H$5:$H$70,"*"&amp;A33&amp;"*")))</f>
        <v>R2</v>
      </c>
      <c r="F33" s="11" t="n">
        <f aca="false">COUNTIFS('M2 Proposal'!$H$5:$H$70,"*"&amp;A33&amp;"*",'M2 Proposal'!$E$5:$E$70,"R1")</f>
        <v>0</v>
      </c>
      <c r="G33" s="11" t="n">
        <f aca="false">COUNTIFS('M2 Proposal'!$H$5:$H$70,"*"&amp;A33&amp;"*",'M2 Proposal'!$E$5:$E$70,"R2")</f>
        <v>1</v>
      </c>
      <c r="H33" s="11" t="n">
        <f aca="false">COUNTIFS('M2 Proposal'!$H$5:$H$70,"*"&amp;A33&amp;"*",'M2 Proposal'!$E$5:$E$70,"R3")</f>
        <v>0</v>
      </c>
      <c r="I33" s="11" t="n">
        <f aca="false">COUNTIFS('M2 Proposal'!$H$5:$H$70,"*"&amp;A33&amp;"*",'M2 Proposal'!$E$5:$E$70,"Beyond")</f>
        <v>0</v>
      </c>
      <c r="J33" s="6"/>
    </row>
    <row r="34" customFormat="false" ht="15" hidden="false" customHeight="false" outlineLevel="0" collapsed="false">
      <c r="A34" s="17" t="s">
        <v>290</v>
      </c>
      <c r="B34" s="18" t="s">
        <v>505</v>
      </c>
      <c r="C34" s="6" t="s">
        <v>506</v>
      </c>
      <c r="D34" s="11" t="s">
        <v>285</v>
      </c>
      <c r="E34" s="33" t="str">
        <f aca="false">IF(_xlfn.MINIFS('M2 Proposal'!$I$5:$I$70,'M2 Proposal'!$H$5:$H$70,"*"&amp;A34&amp;"*")=0,"–",INDEX({"R1","R2","R3","Beyond"},_xlfn.MINIFS('M2 Proposal'!$I$5:$I$70,'M2 Proposal'!$H$5:$H$70,"*"&amp;A34&amp;"*")))</f>
        <v>R1</v>
      </c>
      <c r="F34" s="11" t="n">
        <f aca="false">COUNTIFS('M2 Proposal'!$H$5:$H$70,"*"&amp;A34&amp;"*",'M2 Proposal'!$E$5:$E$70,"R1")</f>
        <v>4</v>
      </c>
      <c r="G34" s="11" t="n">
        <f aca="false">COUNTIFS('M2 Proposal'!$H$5:$H$70,"*"&amp;A34&amp;"*",'M2 Proposal'!$E$5:$E$70,"R2")</f>
        <v>0</v>
      </c>
      <c r="H34" s="11" t="n">
        <f aca="false">COUNTIFS('M2 Proposal'!$H$5:$H$70,"*"&amp;A34&amp;"*",'M2 Proposal'!$E$5:$E$70,"R3")</f>
        <v>0</v>
      </c>
      <c r="I34" s="11" t="n">
        <f aca="false">COUNTIFS('M2 Proposal'!$H$5:$H$70,"*"&amp;A34&amp;"*",'M2 Proposal'!$E$5:$E$70,"Beyond")</f>
        <v>0</v>
      </c>
      <c r="J34" s="6"/>
    </row>
    <row r="35" customFormat="false" ht="15" hidden="false" customHeight="false" outlineLevel="0" collapsed="false">
      <c r="A35" s="17" t="s">
        <v>300</v>
      </c>
      <c r="B35" s="18" t="s">
        <v>505</v>
      </c>
      <c r="C35" s="6" t="s">
        <v>509</v>
      </c>
      <c r="D35" s="11" t="s">
        <v>285</v>
      </c>
      <c r="E35" s="33" t="str">
        <f aca="false">IF(_xlfn.MINIFS('M2 Proposal'!$I$5:$I$70,'M2 Proposal'!$H$5:$H$70,"*"&amp;A35&amp;"*")=0,"–",INDEX({"R1","R2","R3","Beyond"},_xlfn.MINIFS('M2 Proposal'!$I$5:$I$70,'M2 Proposal'!$H$5:$H$70,"*"&amp;A35&amp;"*")))</f>
        <v>R1</v>
      </c>
      <c r="F35" s="11" t="n">
        <f aca="false">COUNTIFS('M2 Proposal'!$H$5:$H$70,"*"&amp;A35&amp;"*",'M2 Proposal'!$E$5:$E$70,"R1")</f>
        <v>4</v>
      </c>
      <c r="G35" s="11" t="n">
        <f aca="false">COUNTIFS('M2 Proposal'!$H$5:$H$70,"*"&amp;A35&amp;"*",'M2 Proposal'!$E$5:$E$70,"R2")</f>
        <v>0</v>
      </c>
      <c r="H35" s="11" t="n">
        <f aca="false">COUNTIFS('M2 Proposal'!$H$5:$H$70,"*"&amp;A35&amp;"*",'M2 Proposal'!$E$5:$E$70,"R3")</f>
        <v>1</v>
      </c>
      <c r="I35" s="11" t="n">
        <f aca="false">COUNTIFS('M2 Proposal'!$H$5:$H$70,"*"&amp;A35&amp;"*",'M2 Proposal'!$E$5:$E$70,"Beyond")</f>
        <v>0</v>
      </c>
      <c r="J35" s="6"/>
    </row>
    <row r="36" customFormat="false" ht="15" hidden="false" customHeight="false" outlineLevel="0" collapsed="false">
      <c r="A36" s="17" t="s">
        <v>512</v>
      </c>
      <c r="B36" s="18" t="s">
        <v>505</v>
      </c>
      <c r="C36" s="6" t="s">
        <v>513</v>
      </c>
      <c r="D36" s="11" t="s">
        <v>285</v>
      </c>
      <c r="E36" s="33" t="str">
        <f aca="false">IF(_xlfn.MINIFS('M2 Proposal'!$I$5:$I$70,'M2 Proposal'!$H$5:$H$70,"*"&amp;A36&amp;"*")=0,"–",INDEX({"R1","R2","R3","Beyond"},_xlfn.MINIFS('M2 Proposal'!$I$5:$I$70,'M2 Proposal'!$H$5:$H$70,"*"&amp;A36&amp;"*")))</f>
        <v>R1</v>
      </c>
      <c r="F36" s="11" t="n">
        <f aca="false">COUNTIFS('M2 Proposal'!$H$5:$H$70,"*"&amp;A36&amp;"*",'M2 Proposal'!$E$5:$E$70,"R1")</f>
        <v>6</v>
      </c>
      <c r="G36" s="11" t="n">
        <f aca="false">COUNTIFS('M2 Proposal'!$H$5:$H$70,"*"&amp;A36&amp;"*",'M2 Proposal'!$E$5:$E$70,"R2")</f>
        <v>1</v>
      </c>
      <c r="H36" s="11" t="n">
        <f aca="false">COUNTIFS('M2 Proposal'!$H$5:$H$70,"*"&amp;A36&amp;"*",'M2 Proposal'!$E$5:$E$70,"R3")</f>
        <v>0</v>
      </c>
      <c r="I36" s="11" t="n">
        <f aca="false">COUNTIFS('M2 Proposal'!$H$5:$H$70,"*"&amp;A36&amp;"*",'M2 Proposal'!$E$5:$E$70,"Beyond")</f>
        <v>0</v>
      </c>
      <c r="J36" s="6" t="s">
        <v>664</v>
      </c>
    </row>
    <row r="37" customFormat="false" ht="15" hidden="false" customHeight="false" outlineLevel="0" collapsed="false">
      <c r="A37" s="17" t="s">
        <v>516</v>
      </c>
      <c r="B37" s="18" t="s">
        <v>505</v>
      </c>
      <c r="C37" s="6" t="s">
        <v>517</v>
      </c>
      <c r="D37" s="11" t="s">
        <v>285</v>
      </c>
      <c r="E37" s="33" t="str">
        <f aca="false">IF(_xlfn.MINIFS('M2 Proposal'!$I$5:$I$70,'M2 Proposal'!$H$5:$H$70,"*"&amp;A37&amp;"*")=0,"–",INDEX({"R1","R2","R3","Beyond"},_xlfn.MINIFS('M2 Proposal'!$I$5:$I$70,'M2 Proposal'!$H$5:$H$70,"*"&amp;A37&amp;"*")))</f>
        <v>R1</v>
      </c>
      <c r="F37" s="11" t="n">
        <f aca="false">COUNTIFS('M2 Proposal'!$H$5:$H$70,"*"&amp;A37&amp;"*",'M2 Proposal'!$E$5:$E$70,"R1")</f>
        <v>4</v>
      </c>
      <c r="G37" s="11" t="n">
        <f aca="false">COUNTIFS('M2 Proposal'!$H$5:$H$70,"*"&amp;A37&amp;"*",'M2 Proposal'!$E$5:$E$70,"R2")</f>
        <v>1</v>
      </c>
      <c r="H37" s="11" t="n">
        <f aca="false">COUNTIFS('M2 Proposal'!$H$5:$H$70,"*"&amp;A37&amp;"*",'M2 Proposal'!$E$5:$E$70,"R3")</f>
        <v>0</v>
      </c>
      <c r="I37" s="11" t="n">
        <f aca="false">COUNTIFS('M2 Proposal'!$H$5:$H$70,"*"&amp;A37&amp;"*",'M2 Proposal'!$E$5:$E$70,"Beyond")</f>
        <v>0</v>
      </c>
      <c r="J37" s="6" t="s">
        <v>665</v>
      </c>
    </row>
    <row r="38" customFormat="false" ht="15" hidden="false" customHeight="false" outlineLevel="0" collapsed="false">
      <c r="A38" s="17" t="s">
        <v>318</v>
      </c>
      <c r="B38" s="18" t="s">
        <v>505</v>
      </c>
      <c r="C38" s="6" t="s">
        <v>519</v>
      </c>
      <c r="D38" s="11" t="s">
        <v>285</v>
      </c>
      <c r="E38" s="33" t="str">
        <f aca="false">IF(_xlfn.MINIFS('M2 Proposal'!$I$5:$I$70,'M2 Proposal'!$H$5:$H$70,"*"&amp;A38&amp;"*")=0,"–",INDEX({"R1","R2","R3","Beyond"},_xlfn.MINIFS('M2 Proposal'!$I$5:$I$70,'M2 Proposal'!$H$5:$H$70,"*"&amp;A38&amp;"*")))</f>
        <v>R1</v>
      </c>
      <c r="F38" s="11" t="n">
        <f aca="false">COUNTIFS('M2 Proposal'!$H$5:$H$70,"*"&amp;A38&amp;"*",'M2 Proposal'!$E$5:$E$70,"R1")</f>
        <v>2</v>
      </c>
      <c r="G38" s="11" t="n">
        <f aca="false">COUNTIFS('M2 Proposal'!$H$5:$H$70,"*"&amp;A38&amp;"*",'M2 Proposal'!$E$5:$E$70,"R2")</f>
        <v>1</v>
      </c>
      <c r="H38" s="11" t="n">
        <f aca="false">COUNTIFS('M2 Proposal'!$H$5:$H$70,"*"&amp;A38&amp;"*",'M2 Proposal'!$E$5:$E$70,"R3")</f>
        <v>1</v>
      </c>
      <c r="I38" s="11" t="n">
        <f aca="false">COUNTIFS('M2 Proposal'!$H$5:$H$70,"*"&amp;A38&amp;"*",'M2 Proposal'!$E$5:$E$70,"Beyond")</f>
        <v>0</v>
      </c>
      <c r="J38" s="6" t="s">
        <v>666</v>
      </c>
    </row>
    <row r="39" customFormat="false" ht="15" hidden="false" customHeight="false" outlineLevel="0" collapsed="false">
      <c r="A39" s="17" t="s">
        <v>522</v>
      </c>
      <c r="B39" s="18" t="s">
        <v>505</v>
      </c>
      <c r="C39" s="6" t="s">
        <v>523</v>
      </c>
      <c r="D39" s="11" t="s">
        <v>285</v>
      </c>
      <c r="E39" s="33" t="str">
        <f aca="false">IF(_xlfn.MINIFS('M2 Proposal'!$I$5:$I$70,'M2 Proposal'!$H$5:$H$70,"*"&amp;A39&amp;"*")=0,"–",INDEX({"R1","R2","R3","Beyond"},_xlfn.MINIFS('M2 Proposal'!$I$5:$I$70,'M2 Proposal'!$H$5:$H$70,"*"&amp;A39&amp;"*")))</f>
        <v>R1</v>
      </c>
      <c r="F39" s="11" t="n">
        <f aca="false">COUNTIFS('M2 Proposal'!$H$5:$H$70,"*"&amp;A39&amp;"*",'M2 Proposal'!$E$5:$E$70,"R1")</f>
        <v>3</v>
      </c>
      <c r="G39" s="11" t="n">
        <f aca="false">COUNTIFS('M2 Proposal'!$H$5:$H$70,"*"&amp;A39&amp;"*",'M2 Proposal'!$E$5:$E$70,"R2")</f>
        <v>1</v>
      </c>
      <c r="H39" s="11" t="n">
        <f aca="false">COUNTIFS('M2 Proposal'!$H$5:$H$70,"*"&amp;A39&amp;"*",'M2 Proposal'!$E$5:$E$70,"R3")</f>
        <v>1</v>
      </c>
      <c r="I39" s="11" t="n">
        <f aca="false">COUNTIFS('M2 Proposal'!$H$5:$H$70,"*"&amp;A39&amp;"*",'M2 Proposal'!$E$5:$E$70,"Beyond")</f>
        <v>0</v>
      </c>
      <c r="J39" s="6" t="s">
        <v>667</v>
      </c>
    </row>
    <row r="40" customFormat="false" ht="15" hidden="false" customHeight="false" outlineLevel="0" collapsed="false">
      <c r="A40" s="21" t="s">
        <v>526</v>
      </c>
      <c r="B40" s="22" t="s">
        <v>527</v>
      </c>
      <c r="C40" s="6" t="s">
        <v>528</v>
      </c>
      <c r="D40" s="11" t="s">
        <v>436</v>
      </c>
      <c r="E40" s="33" t="str">
        <f aca="false">IF(_xlfn.MINIFS('M2 Proposal'!$I$5:$I$70,'M2 Proposal'!$H$5:$H$70,"*"&amp;A40&amp;"*")=0,"–",INDEX({"R1","R2","R3","Beyond"},_xlfn.MINIFS('M2 Proposal'!$I$5:$I$70,'M2 Proposal'!$H$5:$H$70,"*"&amp;A40&amp;"*")))</f>
        <v>R1</v>
      </c>
      <c r="F40" s="11" t="n">
        <f aca="false">COUNTIFS('M2 Proposal'!$H$5:$H$70,"*"&amp;A40&amp;"*",'M2 Proposal'!$E$5:$E$70,"R1")</f>
        <v>2</v>
      </c>
      <c r="G40" s="11" t="n">
        <f aca="false">COUNTIFS('M2 Proposal'!$H$5:$H$70,"*"&amp;A40&amp;"*",'M2 Proposal'!$E$5:$E$70,"R2")</f>
        <v>0</v>
      </c>
      <c r="H40" s="11" t="n">
        <f aca="false">COUNTIFS('M2 Proposal'!$H$5:$H$70,"*"&amp;A40&amp;"*",'M2 Proposal'!$E$5:$E$70,"R3")</f>
        <v>0</v>
      </c>
      <c r="I40" s="11" t="n">
        <f aca="false">COUNTIFS('M2 Proposal'!$H$5:$H$70,"*"&amp;A40&amp;"*",'M2 Proposal'!$E$5:$E$70,"Beyond")</f>
        <v>0</v>
      </c>
      <c r="J40" s="6" t="s">
        <v>668</v>
      </c>
    </row>
    <row r="41" customFormat="false" ht="15" hidden="false" customHeight="false" outlineLevel="0" collapsed="false">
      <c r="A41" s="21" t="s">
        <v>249</v>
      </c>
      <c r="B41" s="22" t="s">
        <v>527</v>
      </c>
      <c r="C41" s="6" t="s">
        <v>531</v>
      </c>
      <c r="D41" s="11" t="s">
        <v>436</v>
      </c>
      <c r="E41" s="33" t="str">
        <f aca="false">IF(_xlfn.MINIFS('M2 Proposal'!$I$5:$I$70,'M2 Proposal'!$H$5:$H$70,"*"&amp;A41&amp;"*")=0,"–",INDEX({"R1","R2","R3","Beyond"},_xlfn.MINIFS('M2 Proposal'!$I$5:$I$70,'M2 Proposal'!$H$5:$H$70,"*"&amp;A41&amp;"*")))</f>
        <v>R1</v>
      </c>
      <c r="F41" s="11" t="n">
        <f aca="false">COUNTIFS('M2 Proposal'!$H$5:$H$70,"*"&amp;A41&amp;"*",'M2 Proposal'!$E$5:$E$70,"R1")</f>
        <v>2</v>
      </c>
      <c r="G41" s="11" t="n">
        <f aca="false">COUNTIFS('M2 Proposal'!$H$5:$H$70,"*"&amp;A41&amp;"*",'M2 Proposal'!$E$5:$E$70,"R2")</f>
        <v>0</v>
      </c>
      <c r="H41" s="11" t="n">
        <f aca="false">COUNTIFS('M2 Proposal'!$H$5:$H$70,"*"&amp;A41&amp;"*",'M2 Proposal'!$E$5:$E$70,"R3")</f>
        <v>0</v>
      </c>
      <c r="I41" s="11" t="n">
        <f aca="false">COUNTIFS('M2 Proposal'!$H$5:$H$70,"*"&amp;A41&amp;"*",'M2 Proposal'!$E$5:$E$70,"Beyond")</f>
        <v>0</v>
      </c>
      <c r="J41" s="6" t="s">
        <v>669</v>
      </c>
    </row>
    <row r="42" customFormat="false" ht="15" hidden="false" customHeight="false" outlineLevel="0" collapsed="false">
      <c r="A42" s="21" t="s">
        <v>534</v>
      </c>
      <c r="B42" s="22" t="s">
        <v>527</v>
      </c>
      <c r="C42" s="6" t="s">
        <v>535</v>
      </c>
      <c r="D42" s="11" t="s">
        <v>436</v>
      </c>
      <c r="E42" s="33" t="str">
        <f aca="false">IF(_xlfn.MINIFS('M2 Proposal'!$I$5:$I$70,'M2 Proposal'!$H$5:$H$70,"*"&amp;A42&amp;"*")=0,"–",INDEX({"R1","R2","R3","Beyond"},_xlfn.MINIFS('M2 Proposal'!$I$5:$I$70,'M2 Proposal'!$H$5:$H$70,"*"&amp;A42&amp;"*")))</f>
        <v>R3</v>
      </c>
      <c r="F42" s="11" t="n">
        <f aca="false">COUNTIFS('M2 Proposal'!$H$5:$H$70,"*"&amp;A42&amp;"*",'M2 Proposal'!$E$5:$E$70,"R1")</f>
        <v>0</v>
      </c>
      <c r="G42" s="11" t="n">
        <f aca="false">COUNTIFS('M2 Proposal'!$H$5:$H$70,"*"&amp;A42&amp;"*",'M2 Proposal'!$E$5:$E$70,"R2")</f>
        <v>0</v>
      </c>
      <c r="H42" s="11" t="n">
        <f aca="false">COUNTIFS('M2 Proposal'!$H$5:$H$70,"*"&amp;A42&amp;"*",'M2 Proposal'!$E$5:$E$70,"R3")</f>
        <v>1</v>
      </c>
      <c r="I42" s="11" t="n">
        <f aca="false">COUNTIFS('M2 Proposal'!$H$5:$H$70,"*"&amp;A42&amp;"*",'M2 Proposal'!$E$5:$E$70,"Beyond")</f>
        <v>0</v>
      </c>
      <c r="J42" s="6"/>
    </row>
    <row r="43" customFormat="false" ht="15" hidden="false" customHeight="false" outlineLevel="0" collapsed="false">
      <c r="A43" s="21" t="s">
        <v>268</v>
      </c>
      <c r="B43" s="22" t="s">
        <v>527</v>
      </c>
      <c r="C43" s="6" t="s">
        <v>538</v>
      </c>
      <c r="D43" s="11" t="s">
        <v>389</v>
      </c>
      <c r="E43" s="33" t="str">
        <f aca="false">IF(_xlfn.MINIFS('M2 Proposal'!$I$5:$I$70,'M2 Proposal'!$H$5:$H$70,"*"&amp;A43&amp;"*")=0,"–",INDEX({"R1","R2","R3","Beyond"},_xlfn.MINIFS('M2 Proposal'!$I$5:$I$70,'M2 Proposal'!$H$5:$H$70,"*"&amp;A43&amp;"*")))</f>
        <v>R1</v>
      </c>
      <c r="F43" s="11" t="n">
        <f aca="false">COUNTIFS('M2 Proposal'!$H$5:$H$70,"*"&amp;A43&amp;"*",'M2 Proposal'!$E$5:$E$70,"R1")</f>
        <v>1</v>
      </c>
      <c r="G43" s="11" t="n">
        <f aca="false">COUNTIFS('M2 Proposal'!$H$5:$H$70,"*"&amp;A43&amp;"*",'M2 Proposal'!$E$5:$E$70,"R2")</f>
        <v>1</v>
      </c>
      <c r="H43" s="11" t="n">
        <f aca="false">COUNTIFS('M2 Proposal'!$H$5:$H$70,"*"&amp;A43&amp;"*",'M2 Proposal'!$E$5:$E$70,"R3")</f>
        <v>0</v>
      </c>
      <c r="I43" s="11" t="n">
        <f aca="false">COUNTIFS('M2 Proposal'!$H$5:$H$70,"*"&amp;A43&amp;"*",'M2 Proposal'!$E$5:$E$70,"Beyond")</f>
        <v>0</v>
      </c>
      <c r="J43" s="6"/>
    </row>
    <row r="44" customFormat="false" ht="15" hidden="false" customHeight="false" outlineLevel="0" collapsed="false">
      <c r="A44" s="21" t="s">
        <v>165</v>
      </c>
      <c r="B44" s="22" t="s">
        <v>527</v>
      </c>
      <c r="C44" s="6" t="s">
        <v>541</v>
      </c>
      <c r="D44" s="11" t="s">
        <v>436</v>
      </c>
      <c r="E44" s="33" t="str">
        <f aca="false">IF(_xlfn.MINIFS('M2 Proposal'!$I$5:$I$70,'M2 Proposal'!$H$5:$H$70,"*"&amp;A44&amp;"*")=0,"–",INDEX({"R1","R2","R3","Beyond"},_xlfn.MINIFS('M2 Proposal'!$I$5:$I$70,'M2 Proposal'!$H$5:$H$70,"*"&amp;A44&amp;"*")))</f>
        <v>R3</v>
      </c>
      <c r="F44" s="11" t="n">
        <f aca="false">COUNTIFS('M2 Proposal'!$H$5:$H$70,"*"&amp;A44&amp;"*",'M2 Proposal'!$E$5:$E$70,"R1")</f>
        <v>0</v>
      </c>
      <c r="G44" s="11" t="n">
        <f aca="false">COUNTIFS('M2 Proposal'!$H$5:$H$70,"*"&amp;A44&amp;"*",'M2 Proposal'!$E$5:$E$70,"R2")</f>
        <v>0</v>
      </c>
      <c r="H44" s="11" t="n">
        <f aca="false">COUNTIFS('M2 Proposal'!$H$5:$H$70,"*"&amp;A44&amp;"*",'M2 Proposal'!$E$5:$E$70,"R3")</f>
        <v>2</v>
      </c>
      <c r="I44" s="11" t="n">
        <f aca="false">COUNTIFS('M2 Proposal'!$H$5:$H$70,"*"&amp;A44&amp;"*",'M2 Proposal'!$E$5:$E$70,"Beyond")</f>
        <v>3</v>
      </c>
      <c r="J44" s="6"/>
    </row>
    <row r="45" customFormat="false" ht="15" hidden="false" customHeight="false" outlineLevel="0" collapsed="false">
      <c r="A45" s="21" t="s">
        <v>544</v>
      </c>
      <c r="B45" s="22" t="s">
        <v>527</v>
      </c>
      <c r="C45" s="6" t="s">
        <v>545</v>
      </c>
      <c r="D45" s="11" t="s">
        <v>546</v>
      </c>
      <c r="E45" s="33" t="str">
        <f aca="false">IF(_xlfn.MINIFS('M2 Proposal'!$I$5:$I$70,'M2 Proposal'!$H$5:$H$70,"*"&amp;A45&amp;"*")=0,"–",INDEX({"R1","R2","R3","Beyond"},_xlfn.MINIFS('M2 Proposal'!$I$5:$I$70,'M2 Proposal'!$H$5:$H$70,"*"&amp;A45&amp;"*")))</f>
        <v>R1</v>
      </c>
      <c r="F45" s="11" t="n">
        <f aca="false">COUNTIFS('M2 Proposal'!$H$5:$H$70,"*"&amp;A45&amp;"*",'M2 Proposal'!$E$5:$E$70,"R1")</f>
        <v>2</v>
      </c>
      <c r="G45" s="11" t="n">
        <f aca="false">COUNTIFS('M2 Proposal'!$H$5:$H$70,"*"&amp;A45&amp;"*",'M2 Proposal'!$E$5:$E$70,"R2")</f>
        <v>0</v>
      </c>
      <c r="H45" s="11" t="n">
        <f aca="false">COUNTIFS('M2 Proposal'!$H$5:$H$70,"*"&amp;A45&amp;"*",'M2 Proposal'!$E$5:$E$70,"R3")</f>
        <v>0</v>
      </c>
      <c r="I45" s="11" t="n">
        <f aca="false">COUNTIFS('M2 Proposal'!$H$5:$H$70,"*"&amp;A45&amp;"*",'M2 Proposal'!$E$5:$E$70,"Beyond")</f>
        <v>0</v>
      </c>
      <c r="J45" s="6" t="s">
        <v>670</v>
      </c>
    </row>
  </sheetData>
  <autoFilter ref="A4:J45"/>
  <conditionalFormatting sqref="E5:E45">
    <cfRule type="cellIs" priority="2" operator="equal" aboveAverage="0" equalAverage="0" bottom="0" percent="0" rank="0" text="" dxfId="9">
      <formula>"R1"</formula>
    </cfRule>
    <cfRule type="cellIs" priority="3" operator="equal" aboveAverage="0" equalAverage="0" bottom="0" percent="0" rank="0" text="" dxfId="10">
      <formula>"R2"</formula>
    </cfRule>
    <cfRule type="cellIs" priority="4" operator="equal" aboveAverage="0" equalAverage="0" bottom="0" percent="0" rank="0" text="" dxfId="11">
      <formula>"R3"</formula>
    </cfRule>
    <cfRule type="cellIs" priority="5" operator="equal" aboveAverage="0" equalAverage="0" bottom="0" percent="0" rank="0" text="" dxfId="12">
      <formula>"Beyond"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671</v>
      </c>
    </row>
    <row r="2" customFormat="false" ht="15" hidden="false" customHeight="false" outlineLevel="0" collapsed="false">
      <c r="A2" s="2" t="s">
        <v>672</v>
      </c>
    </row>
    <row r="4" customFormat="false" ht="15" hidden="false" customHeight="false" outlineLevel="0" collapsed="false">
      <c r="A4" s="8"/>
      <c r="B4" s="8" t="s">
        <v>5</v>
      </c>
      <c r="C4" s="8" t="s">
        <v>7</v>
      </c>
      <c r="D4" s="8" t="s">
        <v>9</v>
      </c>
    </row>
    <row r="5" customFormat="false" ht="57.75" hidden="false" customHeight="true" outlineLevel="0" collapsed="false">
      <c r="A5" s="5" t="s">
        <v>673</v>
      </c>
      <c r="B5" s="6" t="s">
        <v>674</v>
      </c>
      <c r="C5" s="6" t="s">
        <v>675</v>
      </c>
      <c r="D5" s="6" t="s">
        <v>676</v>
      </c>
    </row>
    <row r="6" customFormat="false" ht="57.75" hidden="false" customHeight="true" outlineLevel="0" collapsed="false">
      <c r="A6" s="5" t="s">
        <v>677</v>
      </c>
      <c r="B6" s="6" t="s">
        <v>678</v>
      </c>
      <c r="C6" s="6" t="s">
        <v>679</v>
      </c>
      <c r="D6" s="6" t="s">
        <v>680</v>
      </c>
    </row>
    <row r="7" customFormat="false" ht="57.75" hidden="false" customHeight="true" outlineLevel="0" collapsed="false">
      <c r="A7" s="5" t="s">
        <v>681</v>
      </c>
      <c r="B7" s="6" t="s">
        <v>682</v>
      </c>
      <c r="C7" s="6" t="s">
        <v>683</v>
      </c>
      <c r="D7" s="6" t="s">
        <v>684</v>
      </c>
    </row>
    <row r="8" customFormat="false" ht="57.75" hidden="false" customHeight="true" outlineLevel="0" collapsed="false">
      <c r="A8" s="5" t="s">
        <v>685</v>
      </c>
      <c r="B8" s="6" t="s">
        <v>686</v>
      </c>
      <c r="C8" s="6" t="s">
        <v>687</v>
      </c>
      <c r="D8" s="6" t="s">
        <v>688</v>
      </c>
    </row>
    <row r="9" customFormat="false" ht="57.75" hidden="false" customHeight="true" outlineLevel="0" collapsed="false">
      <c r="A9" s="5" t="s">
        <v>689</v>
      </c>
      <c r="B9" s="6" t="s">
        <v>690</v>
      </c>
      <c r="C9" s="6" t="s">
        <v>691</v>
      </c>
      <c r="D9" s="6" t="s">
        <v>692</v>
      </c>
    </row>
    <row r="10" customFormat="false" ht="57.75" hidden="false" customHeight="true" outlineLevel="0" collapsed="false">
      <c r="A10" s="5" t="s">
        <v>693</v>
      </c>
      <c r="B10" s="6" t="s">
        <v>694</v>
      </c>
      <c r="C10" s="6" t="s">
        <v>695</v>
      </c>
      <c r="D10" s="6" t="s">
        <v>696</v>
      </c>
    </row>
    <row r="12" customFormat="false" ht="15" hidden="false" customHeight="false" outlineLevel="0" collapsed="false">
      <c r="A12" s="3" t="s">
        <v>697</v>
      </c>
    </row>
    <row r="13" customFormat="false" ht="15" hidden="false" customHeight="false" outlineLevel="0" collapsed="false">
      <c r="A13" s="8" t="s">
        <v>58</v>
      </c>
      <c r="B13" s="8" t="s">
        <v>573</v>
      </c>
      <c r="C13" s="8" t="s">
        <v>585</v>
      </c>
      <c r="D13" s="8" t="s">
        <v>592</v>
      </c>
      <c r="E13" s="8" t="s">
        <v>11</v>
      </c>
    </row>
    <row r="14" customFormat="false" ht="15" hidden="false" customHeight="false" outlineLevel="0" collapsed="false">
      <c r="A14" s="9" t="s">
        <v>70</v>
      </c>
      <c r="B14" s="11" t="n">
        <f aca="false">COUNTIFS('M2 Proposal'!$B$5:$B$70,$A14,'M2 Proposal'!$E$5:$E$70,"R1")</f>
        <v>10</v>
      </c>
      <c r="C14" s="11" t="n">
        <f aca="false">COUNTIFS('M2 Proposal'!$B$5:$B$70,$A14,'M2 Proposal'!$E$5:$E$70,"R2")</f>
        <v>6</v>
      </c>
      <c r="D14" s="11" t="n">
        <f aca="false">COUNTIFS('M2 Proposal'!$B$5:$B$70,$A14,'M2 Proposal'!$E$5:$E$70,"R3")</f>
        <v>6</v>
      </c>
      <c r="E14" s="11" t="n">
        <f aca="false">COUNTIFS('M2 Proposal'!$B$5:$B$70,$A14,'M2 Proposal'!$E$5:$E$70,"Beyond")</f>
        <v>2</v>
      </c>
    </row>
    <row r="15" customFormat="false" ht="15" hidden="false" customHeight="false" outlineLevel="0" collapsed="false">
      <c r="A15" s="13" t="s">
        <v>180</v>
      </c>
      <c r="B15" s="11" t="n">
        <f aca="false">COUNTIFS('M2 Proposal'!$B$5:$B$70,$A15,'M2 Proposal'!$E$5:$E$70,"R1")</f>
        <v>10</v>
      </c>
      <c r="C15" s="11" t="n">
        <f aca="false">COUNTIFS('M2 Proposal'!$B$5:$B$70,$A15,'M2 Proposal'!$E$5:$E$70,"R2")</f>
        <v>0</v>
      </c>
      <c r="D15" s="11" t="n">
        <f aca="false">COUNTIFS('M2 Proposal'!$B$5:$B$70,$A15,'M2 Proposal'!$E$5:$E$70,"R3")</f>
        <v>0</v>
      </c>
      <c r="E15" s="11" t="n">
        <f aca="false">COUNTIFS('M2 Proposal'!$B$5:$B$70,$A15,'M2 Proposal'!$E$5:$E$70,"Beyond")</f>
        <v>0</v>
      </c>
    </row>
    <row r="16" customFormat="false" ht="15" hidden="false" customHeight="false" outlineLevel="0" collapsed="false">
      <c r="A16" s="15" t="s">
        <v>229</v>
      </c>
      <c r="B16" s="11" t="n">
        <f aca="false">COUNTIFS('M2 Proposal'!$B$5:$B$70,$A16,'M2 Proposal'!$E$5:$E$70,"R1")</f>
        <v>9</v>
      </c>
      <c r="C16" s="11" t="n">
        <f aca="false">COUNTIFS('M2 Proposal'!$B$5:$B$70,$A16,'M2 Proposal'!$E$5:$E$70,"R2")</f>
        <v>1</v>
      </c>
      <c r="D16" s="11" t="n">
        <f aca="false">COUNTIFS('M2 Proposal'!$B$5:$B$70,$A16,'M2 Proposal'!$E$5:$E$70,"R3")</f>
        <v>1</v>
      </c>
      <c r="E16" s="11" t="n">
        <f aca="false">COUNTIFS('M2 Proposal'!$B$5:$B$70,$A16,'M2 Proposal'!$E$5:$E$70,"Beyond")</f>
        <v>0</v>
      </c>
    </row>
    <row r="17" customFormat="false" ht="15" hidden="false" customHeight="false" outlineLevel="0" collapsed="false">
      <c r="A17" s="17" t="s">
        <v>285</v>
      </c>
      <c r="B17" s="11" t="n">
        <f aca="false">COUNTIFS('M2 Proposal'!$B$5:$B$70,$A17,'M2 Proposal'!$E$5:$E$70,"R1")</f>
        <v>6</v>
      </c>
      <c r="C17" s="11" t="n">
        <f aca="false">COUNTIFS('M2 Proposal'!$B$5:$B$70,$A17,'M2 Proposal'!$E$5:$E$70,"R2")</f>
        <v>1</v>
      </c>
      <c r="D17" s="11" t="n">
        <f aca="false">COUNTIFS('M2 Proposal'!$B$5:$B$70,$A17,'M2 Proposal'!$E$5:$E$70,"R3")</f>
        <v>0</v>
      </c>
      <c r="E17" s="11" t="n">
        <f aca="false">COUNTIFS('M2 Proposal'!$B$5:$B$70,$A17,'M2 Proposal'!$E$5:$E$70,"Beyond")</f>
        <v>0</v>
      </c>
    </row>
    <row r="18" customFormat="false" ht="15" hidden="false" customHeight="false" outlineLevel="0" collapsed="false">
      <c r="A18" s="19" t="s">
        <v>320</v>
      </c>
      <c r="B18" s="11" t="n">
        <f aca="false">COUNTIFS('M2 Proposal'!$B$5:$B$70,$A18,'M2 Proposal'!$E$5:$E$70,"R1")</f>
        <v>8</v>
      </c>
      <c r="C18" s="11" t="n">
        <f aca="false">COUNTIFS('M2 Proposal'!$B$5:$B$70,$A18,'M2 Proposal'!$E$5:$E$70,"R2")</f>
        <v>2</v>
      </c>
      <c r="D18" s="11" t="n">
        <f aca="false">COUNTIFS('M2 Proposal'!$B$5:$B$70,$A18,'M2 Proposal'!$E$5:$E$70,"R3")</f>
        <v>3</v>
      </c>
      <c r="E18" s="11" t="n">
        <f aca="false">COUNTIFS('M2 Proposal'!$B$5:$B$70,$A18,'M2 Proposal'!$E$5:$E$70,"Beyond")</f>
        <v>1</v>
      </c>
    </row>
    <row r="19" customFormat="false" ht="15" hidden="false" customHeight="false" outlineLevel="0" collapsed="false">
      <c r="A19" s="5" t="s">
        <v>698</v>
      </c>
      <c r="B19" s="38" t="n">
        <f aca="false">SUM(B14:B18)</f>
        <v>43</v>
      </c>
      <c r="C19" s="38" t="n">
        <f aca="false">SUM(C14:C18)</f>
        <v>10</v>
      </c>
      <c r="D19" s="38" t="n">
        <f aca="false">SUM(D14:D18)</f>
        <v>10</v>
      </c>
      <c r="E19" s="38" t="n">
        <f aca="false">SUM(E14:E18)</f>
        <v>3</v>
      </c>
    </row>
    <row r="21" customFormat="false" ht="15" hidden="false" customHeight="false" outlineLevel="0" collapsed="false">
      <c r="A21" s="3" t="s">
        <v>699</v>
      </c>
    </row>
    <row r="22" customFormat="false" ht="15" hidden="false" customHeight="false" outlineLevel="0" collapsed="false">
      <c r="A22" s="8" t="s">
        <v>700</v>
      </c>
      <c r="B22" s="8" t="s">
        <v>573</v>
      </c>
      <c r="C22" s="8" t="s">
        <v>585</v>
      </c>
      <c r="D22" s="8" t="s">
        <v>592</v>
      </c>
      <c r="E22" s="8" t="s">
        <v>11</v>
      </c>
    </row>
    <row r="23" customFormat="false" ht="15" hidden="false" customHeight="false" outlineLevel="0" collapsed="false">
      <c r="A23" s="39" t="s">
        <v>576</v>
      </c>
      <c r="B23" s="11" t="n">
        <f aca="false">COUNTIFS('M2 Proposal'!$F$5:$F$70,$A23,'M2 Proposal'!$E$5:$E$70,"R1")</f>
        <v>37</v>
      </c>
      <c r="C23" s="11" t="n">
        <f aca="false">COUNTIFS('M2 Proposal'!$F$5:$F$70,$A23,'M2 Proposal'!$E$5:$E$70,"R2")</f>
        <v>3</v>
      </c>
      <c r="D23" s="11" t="n">
        <f aca="false">COUNTIFS('M2 Proposal'!$F$5:$F$70,$A23,'M2 Proposal'!$E$5:$E$70,"R3")</f>
        <v>3</v>
      </c>
      <c r="E23" s="11" t="n">
        <f aca="false">COUNTIFS('M2 Proposal'!$F$5:$F$70,$A23,'M2 Proposal'!$E$5:$E$70,"Beyond")</f>
        <v>0</v>
      </c>
    </row>
    <row r="24" customFormat="false" ht="15" hidden="false" customHeight="false" outlineLevel="0" collapsed="false">
      <c r="A24" s="19" t="s">
        <v>574</v>
      </c>
      <c r="B24" s="11" t="n">
        <f aca="false">COUNTIFS('M2 Proposal'!$F$5:$F$70,$A24,'M2 Proposal'!$E$5:$E$70,"R1")</f>
        <v>6</v>
      </c>
      <c r="C24" s="11" t="n">
        <f aca="false">COUNTIFS('M2 Proposal'!$F$5:$F$70,$A24,'M2 Proposal'!$E$5:$E$70,"R2")</f>
        <v>5</v>
      </c>
      <c r="D24" s="11" t="n">
        <f aca="false">COUNTIFS('M2 Proposal'!$F$5:$F$70,$A24,'M2 Proposal'!$E$5:$E$70,"R3")</f>
        <v>4</v>
      </c>
      <c r="E24" s="11" t="n">
        <f aca="false">COUNTIFS('M2 Proposal'!$F$5:$F$70,$A24,'M2 Proposal'!$E$5:$E$70,"Beyond")</f>
        <v>0</v>
      </c>
    </row>
    <row r="25" customFormat="false" ht="15" hidden="false" customHeight="false" outlineLevel="0" collapsed="false">
      <c r="A25" s="40" t="s">
        <v>597</v>
      </c>
      <c r="B25" s="11" t="n">
        <f aca="false">COUNTIFS('M2 Proposal'!$F$5:$F$70,$A25,'M2 Proposal'!$E$5:$E$70,"R1")</f>
        <v>0</v>
      </c>
      <c r="C25" s="11" t="n">
        <f aca="false">COUNTIFS('M2 Proposal'!$F$5:$F$70,$A25,'M2 Proposal'!$E$5:$E$70,"R2")</f>
        <v>2</v>
      </c>
      <c r="D25" s="11" t="n">
        <f aca="false">COUNTIFS('M2 Proposal'!$F$5:$F$70,$A25,'M2 Proposal'!$E$5:$E$70,"R3")</f>
        <v>3</v>
      </c>
      <c r="E25" s="11" t="n">
        <f aca="false">COUNTIFS('M2 Proposal'!$F$5:$F$70,$A25,'M2 Proposal'!$E$5:$E$70,"Beyond")</f>
        <v>0</v>
      </c>
    </row>
    <row r="26" customFormat="false" ht="15" hidden="false" customHeight="false" outlineLevel="0" collapsed="false">
      <c r="A26" s="41" t="s">
        <v>602</v>
      </c>
      <c r="B26" s="11" t="n">
        <f aca="false">COUNTIFS('M2 Proposal'!$F$5:$F$70,$A26,'M2 Proposal'!$E$5:$E$70,"R1")</f>
        <v>0</v>
      </c>
      <c r="C26" s="11" t="n">
        <f aca="false">COUNTIFS('M2 Proposal'!$F$5:$F$70,$A26,'M2 Proposal'!$E$5:$E$70,"R2")</f>
        <v>0</v>
      </c>
      <c r="D26" s="11" t="n">
        <f aca="false">COUNTIFS('M2 Proposal'!$F$5:$F$70,$A26,'M2 Proposal'!$E$5:$E$70,"R3")</f>
        <v>0</v>
      </c>
      <c r="E26" s="11" t="n">
        <f aca="false">COUNTIFS('M2 Proposal'!$F$5:$F$70,$A26,'M2 Proposal'!$E$5:$E$70,"Beyond")</f>
        <v>3</v>
      </c>
    </row>
    <row r="27" customFormat="false" ht="46.25" hidden="false" customHeight="false" outlineLevel="0" collapsed="false">
      <c r="A27" s="5" t="s">
        <v>701</v>
      </c>
      <c r="B27" s="42" t="n">
        <f aca="false">IFERROR(B23/SUM(B23:B26),0)</f>
        <v>0.86046511627907</v>
      </c>
      <c r="C27" s="42" t="n">
        <f aca="false">IFERROR(C23/SUM(C23:C26),0)</f>
        <v>0.3</v>
      </c>
      <c r="D27" s="42" t="n">
        <f aca="false">IFERROR(D23/SUM(D23:D26),0)</f>
        <v>0.3</v>
      </c>
      <c r="E27" s="43" t="s">
        <v>702</v>
      </c>
    </row>
    <row r="29" customFormat="false" ht="15" hidden="false" customHeight="false" outlineLevel="0" collapsed="false">
      <c r="A29" s="3" t="s">
        <v>703</v>
      </c>
    </row>
    <row r="30" customFormat="false" ht="15" hidden="false" customHeight="false" outlineLevel="0" collapsed="false">
      <c r="A30" s="8" t="s">
        <v>380</v>
      </c>
      <c r="B30" s="8" t="s">
        <v>573</v>
      </c>
      <c r="C30" s="8" t="s">
        <v>585</v>
      </c>
      <c r="D30" s="8" t="s">
        <v>592</v>
      </c>
      <c r="E30" s="8" t="s">
        <v>11</v>
      </c>
    </row>
    <row r="31" customFormat="false" ht="15" hidden="false" customHeight="false" outlineLevel="0" collapsed="false">
      <c r="A31" s="9" t="s">
        <v>387</v>
      </c>
      <c r="B31" s="11" t="n">
        <f aca="false">COUNTIFS('M2 Components by Release'!$B$5:$B$45,$A31,'M2 Components by Release'!$E$5:$E$45,"R1")</f>
        <v>5</v>
      </c>
      <c r="C31" s="11" t="n">
        <f aca="false">COUNTIFS('M2 Components by Release'!$B$5:$B$45,$A31,'M2 Components by Release'!$E$5:$E$45,"R2")</f>
        <v>3</v>
      </c>
      <c r="D31" s="11" t="n">
        <f aca="false">COUNTIFS('M2 Components by Release'!$B$5:$B$45,$A31,'M2 Components by Release'!$E$5:$E$45,"R3")</f>
        <v>4</v>
      </c>
      <c r="E31" s="11" t="n">
        <f aca="false">COUNTIFS('M2 Components by Release'!$B$5:$B$45,$A31,'M2 Components by Release'!$E$5:$E$45,"Beyond")</f>
        <v>0</v>
      </c>
    </row>
    <row r="32" customFormat="false" ht="15" hidden="false" customHeight="false" outlineLevel="0" collapsed="false">
      <c r="A32" s="15" t="s">
        <v>434</v>
      </c>
      <c r="B32" s="11" t="n">
        <f aca="false">COUNTIFS('M2 Components by Release'!$B$5:$B$45,$A32,'M2 Components by Release'!$E$5:$E$45,"R1")</f>
        <v>4</v>
      </c>
      <c r="C32" s="11" t="n">
        <f aca="false">COUNTIFS('M2 Components by Release'!$B$5:$B$45,$A32,'M2 Components by Release'!$E$5:$E$45,"R2")</f>
        <v>0</v>
      </c>
      <c r="D32" s="11" t="n">
        <f aca="false">COUNTIFS('M2 Components by Release'!$B$5:$B$45,$A32,'M2 Components by Release'!$E$5:$E$45,"R3")</f>
        <v>0</v>
      </c>
      <c r="E32" s="11" t="n">
        <f aca="false">COUNTIFS('M2 Components by Release'!$B$5:$B$45,$A32,'M2 Components by Release'!$E$5:$E$45,"Beyond")</f>
        <v>0</v>
      </c>
    </row>
    <row r="33" customFormat="false" ht="15" hidden="false" customHeight="false" outlineLevel="0" collapsed="false">
      <c r="A33" s="7" t="s">
        <v>452</v>
      </c>
      <c r="B33" s="11" t="n">
        <f aca="false">COUNTIFS('M2 Components by Release'!$B$5:$B$45,$A33,'M2 Components by Release'!$E$5:$E$45,"R1")</f>
        <v>3</v>
      </c>
      <c r="C33" s="11" t="n">
        <f aca="false">COUNTIFS('M2 Components by Release'!$B$5:$B$45,$A33,'M2 Components by Release'!$E$5:$E$45,"R2")</f>
        <v>1</v>
      </c>
      <c r="D33" s="11" t="n">
        <f aca="false">COUNTIFS('M2 Components by Release'!$B$5:$B$45,$A33,'M2 Components by Release'!$E$5:$E$45,"R3")</f>
        <v>1</v>
      </c>
      <c r="E33" s="11" t="n">
        <f aca="false">COUNTIFS('M2 Components by Release'!$B$5:$B$45,$A33,'M2 Components by Release'!$E$5:$E$45,"Beyond")</f>
        <v>0</v>
      </c>
    </row>
    <row r="34" customFormat="false" ht="15" hidden="false" customHeight="false" outlineLevel="0" collapsed="false">
      <c r="A34" s="13" t="s">
        <v>474</v>
      </c>
      <c r="B34" s="11" t="n">
        <f aca="false">COUNTIFS('M2 Components by Release'!$B$5:$B$45,$A34,'M2 Components by Release'!$E$5:$E$45,"R1")</f>
        <v>7</v>
      </c>
      <c r="C34" s="11" t="n">
        <f aca="false">COUNTIFS('M2 Components by Release'!$B$5:$B$45,$A34,'M2 Components by Release'!$E$5:$E$45,"R2")</f>
        <v>1</v>
      </c>
      <c r="D34" s="11" t="n">
        <f aca="false">COUNTIFS('M2 Components by Release'!$B$5:$B$45,$A34,'M2 Components by Release'!$E$5:$E$45,"R3")</f>
        <v>0</v>
      </c>
      <c r="E34" s="11" t="n">
        <f aca="false">COUNTIFS('M2 Components by Release'!$B$5:$B$45,$A34,'M2 Components by Release'!$E$5:$E$45,"Beyond")</f>
        <v>0</v>
      </c>
    </row>
    <row r="35" customFormat="false" ht="15" hidden="false" customHeight="false" outlineLevel="0" collapsed="false">
      <c r="A35" s="17" t="s">
        <v>505</v>
      </c>
      <c r="B35" s="11" t="n">
        <f aca="false">COUNTIFS('M2 Components by Release'!$B$5:$B$45,$A35,'M2 Components by Release'!$E$5:$E$45,"R1")</f>
        <v>6</v>
      </c>
      <c r="C35" s="11" t="n">
        <f aca="false">COUNTIFS('M2 Components by Release'!$B$5:$B$45,$A35,'M2 Components by Release'!$E$5:$E$45,"R2")</f>
        <v>0</v>
      </c>
      <c r="D35" s="11" t="n">
        <f aca="false">COUNTIFS('M2 Components by Release'!$B$5:$B$45,$A35,'M2 Components by Release'!$E$5:$E$45,"R3")</f>
        <v>0</v>
      </c>
      <c r="E35" s="11" t="n">
        <f aca="false">COUNTIFS('M2 Components by Release'!$B$5:$B$45,$A35,'M2 Components by Release'!$E$5:$E$45,"Beyond")</f>
        <v>0</v>
      </c>
    </row>
    <row r="36" customFormat="false" ht="15" hidden="false" customHeight="false" outlineLevel="0" collapsed="false">
      <c r="A36" s="21" t="s">
        <v>527</v>
      </c>
      <c r="B36" s="11" t="n">
        <f aca="false">COUNTIFS('M2 Components by Release'!$B$5:$B$45,$A36,'M2 Components by Release'!$E$5:$E$45,"R1")</f>
        <v>4</v>
      </c>
      <c r="C36" s="11" t="n">
        <f aca="false">COUNTIFS('M2 Components by Release'!$B$5:$B$45,$A36,'M2 Components by Release'!$E$5:$E$45,"R2")</f>
        <v>0</v>
      </c>
      <c r="D36" s="11" t="n">
        <f aca="false">COUNTIFS('M2 Components by Release'!$B$5:$B$45,$A36,'M2 Components by Release'!$E$5:$E$45,"R3")</f>
        <v>2</v>
      </c>
      <c r="E36" s="11" t="n">
        <f aca="false">COUNTIFS('M2 Components by Release'!$B$5:$B$45,$A36,'M2 Components by Release'!$E$5:$E$45,"Beyond")</f>
        <v>0</v>
      </c>
    </row>
    <row r="37" customFormat="false" ht="15" hidden="false" customHeight="false" outlineLevel="0" collapsed="false">
      <c r="A37" s="5" t="s">
        <v>698</v>
      </c>
      <c r="B37" s="38" t="n">
        <f aca="false">SUM(B31:B36)</f>
        <v>29</v>
      </c>
      <c r="C37" s="38" t="n">
        <f aca="false">SUM(C31:C36)</f>
        <v>5</v>
      </c>
      <c r="D37" s="38" t="n">
        <f aca="false">SUM(D31:D36)</f>
        <v>7</v>
      </c>
      <c r="E37" s="38" t="n">
        <f aca="false">SUM(E31:E36)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2026-10-23T21:48:38Z</dcterms:created>
  <dc:creator>openpyxl</dc:creator>
  <dc:description/>
  <dc:language>en-US</dc:language>
  <cp:lastModifiedBy/>
  <dcterms:modified xsi:type="dcterms:W3CDTF">2026-10-23T21:48:38Z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